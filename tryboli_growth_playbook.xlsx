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Checklist" sheetId="1" state="visible" r:id="rId3"/>
    <sheet name="Revenue Projections" sheetId="2" state="visible" r:id="rId4"/>
    <sheet name="Weekly KPI Tracker" sheetId="3" state="visible" r:id="rId5"/>
    <sheet name="Content Calendar" sheetId="4" state="visible" r:id="rId6"/>
    <sheet name="B2B Pipe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<sst xmlns="http://schemas.openxmlformats.org/spreadsheetml/2006/main" count="587" uniqueCount="364">
  <si>
    <t xml:space="preserve">TRYBOLI DAILY EXECUTION CHECKLIST</t>
  </si>
  <si>
    <t xml:space="preserve">Day</t>
  </si>
  <si>
    <t xml:space="preserve">Time Block</t>
  </si>
  <si>
    <t xml:space="preserve">Task</t>
  </si>
  <si>
    <t xml:space="preserve">Owner</t>
  </si>
  <si>
    <t xml:space="preserve">Details / Script</t>
  </si>
  <si>
    <t xml:space="preserve">Done?</t>
  </si>
  <si>
    <t xml:space="preserve">MONDAY</t>
  </si>
  <si>
    <t xml:space="preserve">8:00-9:30 AM</t>
  </si>
  <si>
    <t xml:space="preserve">B2B Outreach Block (non-negotiable)</t>
  </si>
  <si>
    <t xml:space="preserve">You</t>
  </si>
  <si>
    <t xml:space="preserve">Research 10 companies on LinkedIn. Send 20 personalised cold emails/InMails to HR/L&amp;D heads. Use template from B2B sheet. Follow up 5 warm leads.</t>
  </si>
  <si>
    <t xml:space="preserve">☐</t>
  </si>
  <si>
    <t xml:space="preserve">9:30-11:00 AM</t>
  </si>
  <si>
    <t xml:space="preserve">Record 3-5 Instagram Reels</t>
  </si>
  <si>
    <t xml:space="preserve">Batch create for the week. Formats: 'Say This Not That', pronunciation fixes, interview tips. Keep 15-30 sec. Use ring light + phone.</t>
  </si>
  <si>
    <t xml:space="preserve">11:00-12:30 PM</t>
  </si>
  <si>
    <t xml:space="preserve">Write/review 1 blog post</t>
  </si>
  <si>
    <t xml:space="preserve">Target one long-tail keyword. 1500-2500 words. Include FAQ section. End with CTA to free quiz.</t>
  </si>
  <si>
    <t xml:space="preserve">12:30-1:30 PM</t>
  </si>
  <si>
    <t xml:space="preserve">Edit &amp; schedule Reels for week</t>
  </si>
  <si>
    <t xml:space="preserve">Executor</t>
  </si>
  <si>
    <t xml:space="preserve">Use CapCut for edits. Add captions. Schedule via Meta Business Suite for 11AM &amp; 7PM IST slots.</t>
  </si>
  <si>
    <t xml:space="preserve">2:00-3:30 PM</t>
  </si>
  <si>
    <t xml:space="preserve">Format blog + images + publish</t>
  </si>
  <si>
    <t xml:space="preserve">Add featured image (Canva), internal links, meta description. Publish on website blog.</t>
  </si>
  <si>
    <t xml:space="preserve">3:30-5:00 PM</t>
  </si>
  <si>
    <t xml:space="preserve">Update CRM + process weekend leads</t>
  </si>
  <si>
    <t xml:space="preserve">Enter all new leads from WhatsApp/Instagram DMs into HubSpot. Tag by source. Send welcome message.</t>
  </si>
  <si>
    <t xml:space="preserve">5:00-5:30 PM</t>
  </si>
  <si>
    <t xml:space="preserve">Plan weekly content calendar</t>
  </si>
  <si>
    <t xml:space="preserve">Both</t>
  </si>
  <si>
    <t xml:space="preserve">Align on topics for blog, Reels, WhatsApp tips. 15 min sync call.</t>
  </si>
  <si>
    <t xml:space="preserve">TUESDAY</t>
  </si>
  <si>
    <t xml:space="preserve">B2B Outreach Block</t>
  </si>
  <si>
    <t xml:space="preserve">10 LinkedIn connection requests + 5 personalised InMails. Focus on IT/BPO companies in Tier 2 cities.</t>
  </si>
  <si>
    <t xml:space="preserve">LinkedIn engagement + thought leadership</t>
  </si>
  <si>
    <t xml:space="preserve">Comment on 10 HR/L&amp;D posts. Share 1 insight post about English training ROI. Build visibility.</t>
  </si>
  <si>
    <t xml:space="preserve">Follow up warm B2B leads</t>
  </si>
  <si>
    <t xml:space="preserve">Call/email prospects from last week. Send proposals to interested companies. Prepare pilot program details.</t>
  </si>
  <si>
    <t xml:space="preserve">12:30-2:00 PM</t>
  </si>
  <si>
    <t xml:space="preserve">Research 20 new target companies</t>
  </si>
  <si>
    <t xml:space="preserve">Find company name, L&amp;D head name, email, LinkedIn, employee count. Add to CRM. Focus on companies hiring.</t>
  </si>
  <si>
    <t xml:space="preserve">2:00-3:00 PM</t>
  </si>
  <si>
    <t xml:space="preserve">Post daily WhatsApp vocabulary tip</t>
  </si>
  <si>
    <t xml:space="preserve">Send 1 word + pronunciation + Hindi meaning + example sentence to WhatsApp community.</t>
  </si>
  <si>
    <t xml:space="preserve">3:00-4:30 PM</t>
  </si>
  <si>
    <t xml:space="preserve">Respond to all Instagram DMs + comments</t>
  </si>
  <si>
    <t xml:space="preserve">Reply to every comment within 4 hours. DM leads who commented with interest. Send quiz link.</t>
  </si>
  <si>
    <t xml:space="preserve">4:30-5:30 PM</t>
  </si>
  <si>
    <t xml:space="preserve">Share content in Facebook/Telegram groups</t>
  </si>
  <si>
    <t xml:space="preserve">Answer 3-5 English questions in Facebook groups genuinely. Share blog link where relevant.</t>
  </si>
  <si>
    <t xml:space="preserve">WEDNESDAY</t>
  </si>
  <si>
    <t xml:space="preserve">Standard outreach block. Focus on college TPOs today — 10 emails to placement officers at engineering colleges.</t>
  </si>
  <si>
    <t xml:space="preserve">9:30-10:30 AM</t>
  </si>
  <si>
    <t xml:space="preserve">Host free WhatsApp speaking circle</t>
  </si>
  <si>
    <t xml:space="preserve">30 min voice note session. 8-10 learners practice a topic. You correct and encourage. Builds trust + community.</t>
  </si>
  <si>
    <t xml:space="preserve">10:30-12:00 PM</t>
  </si>
  <si>
    <t xml:space="preserve">Record 1 YouTube long-form video (10-15 min)</t>
  </si>
  <si>
    <t xml:space="preserve">Cover same topic as this week's blog. Repurpose content. Add to YouTube + embed in blog post.</t>
  </si>
  <si>
    <t xml:space="preserve">12:00-1:30 PM</t>
  </si>
  <si>
    <t xml:space="preserve">Manage WhatsApp community</t>
  </si>
  <si>
    <t xml:space="preserve">Moderate group. Post engagement prompt. Share yesterday's vocabulary recap. Remove spammers.</t>
  </si>
  <si>
    <t xml:space="preserve">1:30-3:00 PM</t>
  </si>
  <si>
    <t xml:space="preserve">Send WhatsApp nurture broadcast</t>
  </si>
  <si>
    <t xml:space="preserve">Segment leads by stage. Send appropriate message: new leads get quiz, warm leads get testimonial, hot leads get trial offer.</t>
  </si>
  <si>
    <t xml:space="preserve">Update vocabulary challenge content</t>
  </si>
  <si>
    <t xml:space="preserve">Prepare next week's ELO vocabulary questions. Ensure difficulty scaling is correct. Test on platform.</t>
  </si>
  <si>
    <t xml:space="preserve">Answer Quora questions (3-5)</t>
  </si>
  <si>
    <t xml:space="preserve">Target: 'How to improve English speaking India', 'best English course online'. Genuine answers, soft CTA in bio.</t>
  </si>
  <si>
    <t xml:space="preserve">THURSDAY</t>
  </si>
  <si>
    <t xml:space="preserve">Standard block. Today focus on following up Day 7-14 prospects from cadence. Push for meetings.</t>
  </si>
  <si>
    <t xml:space="preserve">9:30-12:00 PM</t>
  </si>
  <si>
    <t xml:space="preserve">Conduct trial sessions / demo calls</t>
  </si>
  <si>
    <t xml:space="preserve">2-4 trial sessions with leads. 30 min each. Show platform, do mini assessment, pitch paid plan at end.</t>
  </si>
  <si>
    <t xml:space="preserve">Follow up with trial attendees</t>
  </si>
  <si>
    <t xml:space="preserve">WhatsApp message within 2 hours of trial: 'Great session! Here's your assessment + recommended plan.' Include payment link.</t>
  </si>
  <si>
    <t xml:space="preserve">Write 1 blog post (draft)</t>
  </si>
  <si>
    <t xml:space="preserve">Second blog post of the week. Can be shorter (1000-1500 words). Target comparison keyword.</t>
  </si>
  <si>
    <t xml:space="preserve">3:00-4:00 PM</t>
  </si>
  <si>
    <t xml:space="preserve">Update conversion tracking sheet</t>
  </si>
  <si>
    <t xml:space="preserve">Log all trials, conversions, revenue. Update KPI dashboard. Flag leads that need follow-up.</t>
  </si>
  <si>
    <t xml:space="preserve">4:00-5:00 PM</t>
  </si>
  <si>
    <t xml:space="preserve">Send follow-up WhatsApp to non-converters</t>
  </si>
  <si>
    <t xml:space="preserve">Leads who did trial but didn't pay: send testimonial + limited-time offer. 'X people joined this week.'</t>
  </si>
  <si>
    <t xml:space="preserve">Coordinate campus ambassadors</t>
  </si>
  <si>
    <t xml:space="preserve">Check in with ambassadors. Review their referral numbers. Share content for them to distribute.</t>
  </si>
  <si>
    <t xml:space="preserve">FRIDAY</t>
  </si>
  <si>
    <t xml:space="preserve">Focus on closing. Accounts nearing decision stage get priority. Send final proposals. Push for pilot start dates.</t>
  </si>
  <si>
    <t xml:space="preserve">Review weekly analytics</t>
  </si>
  <si>
    <t xml:space="preserve">Google Ads: check CPC, CTR, conversions. Kill underperformers. Social: engagement rates. Website: traffic + conversion rate.</t>
  </si>
  <si>
    <t xml:space="preserve">Optimise Google Ads campaigns</t>
  </si>
  <si>
    <t xml:space="preserve">Add negative keywords. Adjust bids for best-performing keywords. Test new ad copy variation. Review search terms report.</t>
  </si>
  <si>
    <t xml:space="preserve">College outreach calls/emails (5-10)</t>
  </si>
  <si>
    <t xml:space="preserve">Call TPOs directly. Pitch free demo session for one batch. Offer to visit campus (if local).</t>
  </si>
  <si>
    <t xml:space="preserve">Compile weekly metrics report</t>
  </si>
  <si>
    <t xml:space="preserve">Fill in KPI tracker sheet. Calculate week-over-week changes. Highlight wins and concerns.</t>
  </si>
  <si>
    <t xml:space="preserve">3:30-4:30 PM</t>
  </si>
  <si>
    <t xml:space="preserve">Create next week's Canva assets</t>
  </si>
  <si>
    <t xml:space="preserve">Instagram post templates, WhatsApp broadcast images, blog featured images. Batch create 10-15 assets.</t>
  </si>
  <si>
    <t xml:space="preserve">Plan next week + Friday review sync</t>
  </si>
  <si>
    <t xml:space="preserve">15 min call: what worked, what didn't, priorities for next week. Update task board.</t>
  </si>
  <si>
    <t xml:space="preserve">SATURDAY (half day)</t>
  </si>
  <si>
    <t xml:space="preserve">9:00-10:30 AM</t>
  </si>
  <si>
    <t xml:space="preserve">Batch record 2-3 bonus Reels</t>
  </si>
  <si>
    <t xml:space="preserve">Buffer content for next week. Try trending audio. Record behind-the-scenes of coaching session (with permission).</t>
  </si>
  <si>
    <t xml:space="preserve">Write/outline 1 blog post for next week</t>
  </si>
  <si>
    <t xml:space="preserve">Get ahead on content. Outline + key points. Executor drafts full version Monday.</t>
  </si>
  <si>
    <t xml:space="preserve">9:00-11:00 AM</t>
  </si>
  <si>
    <t xml:space="preserve">Draft 2 blog posts for next week</t>
  </si>
  <si>
    <t xml:space="preserve">Using your outlines from previous weeks. Research keywords. Write first drafts for your review Monday.</t>
  </si>
  <si>
    <t xml:space="preserve">11:00-12:00 PM</t>
  </si>
  <si>
    <t xml:space="preserve">Schedule Saturday/Sunday social posts</t>
  </si>
  <si>
    <t xml:space="preserve">Queue up posts. Reply to any pending DMs. Update WhatsApp status with weekend tip.</t>
  </si>
  <si>
    <t xml:space="preserve">SUNDAY (30 min only)</t>
  </si>
  <si>
    <t xml:space="preserve">10:00-10:30 AM</t>
  </si>
  <si>
    <t xml:space="preserve">Light engagement only</t>
  </si>
  <si>
    <t xml:space="preserve">Check WhatsApp for urgent messages. Quick Instagram engagement (5 min). Respond to any hot B2B leads. REST.</t>
  </si>
  <si>
    <t xml:space="preserve">LEGEND:</t>
  </si>
  <si>
    <t xml:space="preserve">Your tasks</t>
  </si>
  <si>
    <t xml:space="preserve">Executor tasks</t>
  </si>
  <si>
    <t xml:space="preserve">Both/sync</t>
  </si>
  <si>
    <t xml:space="preserve">TRYBOLI REVENUE PROJECTIONS — CONSERVATIVE SCENARIO</t>
  </si>
  <si>
    <t xml:space="preserve">Metric</t>
  </si>
  <si>
    <t xml:space="preserve">Month 1</t>
  </si>
  <si>
    <t xml:space="preserve">Month 2</t>
  </si>
  <si>
    <t xml:space="preserve">Month 3</t>
  </si>
  <si>
    <t xml:space="preserve">Month 6</t>
  </si>
  <si>
    <t xml:space="preserve">Month 9</t>
  </si>
  <si>
    <t xml:space="preserve">Month 12</t>
  </si>
  <si>
    <t xml:space="preserve">Notes</t>
  </si>
  <si>
    <t xml:space="preserve">FREE USER GROWTH</t>
  </si>
  <si>
    <t xml:space="preserve">Free quiz completions (cumulative)</t>
  </si>
  <si>
    <t xml:space="preserve">Primary lead gen metric</t>
  </si>
  <si>
    <t xml:space="preserve">WhatsApp community size</t>
  </si>
  <si>
    <t xml:space="preserve">Daily vocabulary challenge members</t>
  </si>
  <si>
    <t xml:space="preserve">Instagram followers</t>
  </si>
  <si>
    <t xml:space="preserve">Reels driving most growth</t>
  </si>
  <si>
    <t xml:space="preserve">YouTube subscribers</t>
  </si>
  <si>
    <t xml:space="preserve">Shorts + long-form combo</t>
  </si>
  <si>
    <t xml:space="preserve">Blog monthly organic traffic</t>
  </si>
  <si>
    <t xml:space="preserve">SEO compounds over time</t>
  </si>
  <si>
    <t xml:space="preserve">Vocabulary challenge DAU</t>
  </si>
  <si>
    <t xml:space="preserve">The sticky free product</t>
  </si>
  <si>
    <t xml:space="preserve">Total free users (cumulative)</t>
  </si>
  <si>
    <t xml:space="preserve">All channels combined</t>
  </si>
  <si>
    <t xml:space="preserve">PAID CONVERSIONS</t>
  </si>
  <si>
    <t xml:space="preserve">Trial sessions booked</t>
  </si>
  <si>
    <t xml:space="preserve">₹99-₹199 per trial</t>
  </si>
  <si>
    <t xml:space="preserve">Trial → Paid conversion %</t>
  </si>
  <si>
    <t xml:space="preserve">15%</t>
  </si>
  <si>
    <t xml:space="preserve">18%</t>
  </si>
  <si>
    <t xml:space="preserve">22%</t>
  </si>
  <si>
    <t xml:space="preserve">25%</t>
  </si>
  <si>
    <t xml:space="preserve">28%</t>
  </si>
  <si>
    <t xml:space="preserve">30%</t>
  </si>
  <si>
    <t xml:space="preserve">Improves with social proof</t>
  </si>
  <si>
    <t xml:space="preserve">New paid subscribers/month</t>
  </si>
  <si>
    <t xml:space="preserve">From trial conversions</t>
  </si>
  <si>
    <t xml:space="preserve">Active paid subscribers</t>
  </si>
  <si>
    <t xml:space="preserve">Assuming 12% monthly churn</t>
  </si>
  <si>
    <t xml:space="preserve">Avg subscription price (₹)</t>
  </si>
  <si>
    <t xml:space="preserve">Price increases with value</t>
  </si>
  <si>
    <t xml:space="preserve">B2B REVENUE</t>
  </si>
  <si>
    <t xml:space="preserve">B2B outreach emails sent</t>
  </si>
  <si>
    <t xml:space="preserve">100/week consistent</t>
  </si>
  <si>
    <t xml:space="preserve">B2B meetings booked</t>
  </si>
  <si>
    <t xml:space="preserve">2-4% meeting rate</t>
  </si>
  <si>
    <t xml:space="preserve">B2B pilots started</t>
  </si>
  <si>
    <t xml:space="preserve">Free 2-week pilots</t>
  </si>
  <si>
    <t xml:space="preserve">B2B contracts signed</t>
  </si>
  <si>
    <t xml:space="preserve">2-6 month sales cycle</t>
  </si>
  <si>
    <t xml:space="preserve">Avg employees per contract</t>
  </si>
  <si>
    <t xml:space="preserve">Growing deal sizes</t>
  </si>
  <si>
    <t xml:space="preserve">Avg ₹/employee/month</t>
  </si>
  <si>
    <t xml:space="preserve">COLLEGE PARTNERSHIPS</t>
  </si>
  <si>
    <t xml:space="preserve">Colleges approached</t>
  </si>
  <si>
    <t xml:space="preserve">Demo sessions delivered</t>
  </si>
  <si>
    <t xml:space="preserve">Free batch demos</t>
  </si>
  <si>
    <t xml:space="preserve">College contracts signed</t>
  </si>
  <si>
    <t xml:space="preserve">Longer sales cycle</t>
  </si>
  <si>
    <t xml:space="preserve">Students per contract</t>
  </si>
  <si>
    <t xml:space="preserve">Revenue per student (₹)</t>
  </si>
  <si>
    <t xml:space="preserve">Per program fee</t>
  </si>
  <si>
    <t xml:space="preserve">MONTHLY REVENUE BREAKDOWN</t>
  </si>
  <si>
    <t xml:space="preserve">B2C subscription revenue (₹)</t>
  </si>
  <si>
    <t xml:space="preserve">Active subs × avg price</t>
  </si>
  <si>
    <t xml:space="preserve">Trial session revenue (₹)</t>
  </si>
  <si>
    <t xml:space="preserve">B2B contract revenue (₹)</t>
  </si>
  <si>
    <t xml:space="preserve">Contracts × employees × rate</t>
  </si>
  <si>
    <t xml:space="preserve">College revenue (₹)</t>
  </si>
  <si>
    <t xml:space="preserve">Per-program fees, spread monthly</t>
  </si>
  <si>
    <t xml:space="preserve">Speaking club revenue (₹)</t>
  </si>
  <si>
    <t xml:space="preserve">₹499/mo group sessions</t>
  </si>
  <si>
    <t xml:space="preserve">Interview prep cohorts (₹)</t>
  </si>
  <si>
    <t xml:space="preserve">₹1999-₹4999 per cohort</t>
  </si>
  <si>
    <t xml:space="preserve">TOTAL MONTHLY REVENUE (₹)</t>
  </si>
  <si>
    <t xml:space="preserve">MONTHLY COSTS</t>
  </si>
  <si>
    <t xml:space="preserve">Google Ads spend (₹)</t>
  </si>
  <si>
    <t xml:space="preserve">Scale with proven ROAS</t>
  </si>
  <si>
    <t xml:space="preserve">WhatsApp API + tool (₹)</t>
  </si>
  <si>
    <t xml:space="preserve">Interakt → AiSensy</t>
  </si>
  <si>
    <t xml:space="preserve">Executor salary (₹)</t>
  </si>
  <si>
    <t xml:space="preserve">Part-time → full-time</t>
  </si>
  <si>
    <t xml:space="preserve">Coach payments (₹)</t>
  </si>
  <si>
    <t xml:space="preserve">Variable: per session</t>
  </si>
  <si>
    <t xml:space="preserve">Campus ambassadors (₹)</t>
  </si>
  <si>
    <t xml:space="preserve">5 → 10 → 20 ambassadors</t>
  </si>
  <si>
    <t xml:space="preserve">Software/tools (₹)</t>
  </si>
  <si>
    <t xml:space="preserve">Zoom, CRM upgrades, etc.</t>
  </si>
  <si>
    <t xml:space="preserve">TOTAL MONTHLY COSTS (₹)</t>
  </si>
  <si>
    <t xml:space="preserve">PROFIT / LOSS</t>
  </si>
  <si>
    <t xml:space="preserve">MONTHLY PROFIT (₹)</t>
  </si>
  <si>
    <t xml:space="preserve">ASPIRATIONAL SCENARIO (2x multiplier if execution is flawless)</t>
  </si>
  <si>
    <t xml:space="preserve">Month 1 Revenue</t>
  </si>
  <si>
    <t xml:space="preserve">₹7,000-₹15,000</t>
  </si>
  <si>
    <t xml:space="preserve">Month 3 Revenue</t>
  </si>
  <si>
    <t xml:space="preserve">₹1,30,000-₹2,50,000</t>
  </si>
  <si>
    <t xml:space="preserve">Month 6 Revenue</t>
  </si>
  <si>
    <t xml:space="preserve">₹6,00,000-₹10,00,000</t>
  </si>
  <si>
    <t xml:space="preserve">Month 12 Revenue</t>
  </si>
  <si>
    <t xml:space="preserve">₹25,00,000-₹40,00,000+</t>
  </si>
  <si>
    <t xml:space="preserve">Month 12 Annual Run Rate</t>
  </si>
  <si>
    <t xml:space="preserve">₹3,00,00,000-₹4,80,00,000 (₹3-5 Cr/year)</t>
  </si>
  <si>
    <t xml:space="preserve">WEEKLY KPI TRACKER — Fill every Friday</t>
  </si>
  <si>
    <t xml:space="preserve">KPI</t>
  </si>
  <si>
    <t xml:space="preserve">Week 1</t>
  </si>
  <si>
    <t xml:space="preserve">Week 2</t>
  </si>
  <si>
    <t xml:space="preserve">Week 3</t>
  </si>
  <si>
    <t xml:space="preserve">Week 4</t>
  </si>
  <si>
    <t xml:space="preserve">Monthly Total</t>
  </si>
  <si>
    <t xml:space="preserve">ACQUISITION</t>
  </si>
  <si>
    <t xml:space="preserve">Website visitors</t>
  </si>
  <si>
    <t xml:space="preserve">Quiz completions (new leads)</t>
  </si>
  <si>
    <t xml:space="preserve">Instagram Reels posted</t>
  </si>
  <si>
    <t xml:space="preserve">Instagram new followers</t>
  </si>
  <si>
    <t xml:space="preserve">YouTube Shorts posted</t>
  </si>
  <si>
    <t xml:space="preserve">YouTube new subscribers</t>
  </si>
  <si>
    <t xml:space="preserve">Blog posts published</t>
  </si>
  <si>
    <t xml:space="preserve">WhatsApp community new members</t>
  </si>
  <si>
    <t xml:space="preserve">Google Ads clicks</t>
  </si>
  <si>
    <t xml:space="preserve">Cost per lead (₹)</t>
  </si>
  <si>
    <t xml:space="preserve">CONVERSION</t>
  </si>
  <si>
    <t xml:space="preserve">Trial sessions completed</t>
  </si>
  <si>
    <t xml:space="preserve">Trials → Paid conversions</t>
  </si>
  <si>
    <t xml:space="preserve">Conversion rate %</t>
  </si>
  <si>
    <t xml:space="preserve">New paid subscribers</t>
  </si>
  <si>
    <t xml:space="preserve">Total active paid subscribers</t>
  </si>
  <si>
    <t xml:space="preserve">REVENUE</t>
  </si>
  <si>
    <t xml:space="preserve">Trial revenue (₹)</t>
  </si>
  <si>
    <t xml:space="preserve">B2B revenue (₹)</t>
  </si>
  <si>
    <t xml:space="preserve">Other revenue (₹)</t>
  </si>
  <si>
    <t xml:space="preserve">TOTAL WEEKLY REVENUE (₹)</t>
  </si>
  <si>
    <t xml:space="preserve">B2B PIPELINE</t>
  </si>
  <si>
    <t xml:space="preserve">Cold emails sent</t>
  </si>
  <si>
    <t xml:space="preserve">LinkedIn messages sent</t>
  </si>
  <si>
    <t xml:space="preserve">B2B proposals sent</t>
  </si>
  <si>
    <t xml:space="preserve">ENGAGEMENT</t>
  </si>
  <si>
    <t xml:space="preserve">WhatsApp broadcast open rate %</t>
  </si>
  <si>
    <t xml:space="preserve">Instagram engagement rate %</t>
  </si>
  <si>
    <t xml:space="preserve">Referrals received</t>
  </si>
  <si>
    <t xml:space="preserve">Churn (cancelled subscribers)</t>
  </si>
  <si>
    <t xml:space="preserve">4-WEEK CONTENT CALENDAR TEMPLATE</t>
  </si>
  <si>
    <t xml:space="preserve">Week</t>
  </si>
  <si>
    <t xml:space="preserve">Platform</t>
  </si>
  <si>
    <t xml:space="preserve">Content Type</t>
  </si>
  <si>
    <t xml:space="preserve">Topic / Hook</t>
  </si>
  <si>
    <t xml:space="preserve">CTA</t>
  </si>
  <si>
    <t xml:space="preserve">Status</t>
  </si>
  <si>
    <t xml:space="preserve">Mon</t>
  </si>
  <si>
    <t xml:space="preserve">Instagram</t>
  </si>
  <si>
    <t xml:space="preserve">Reel (15s)</t>
  </si>
  <si>
    <t xml:space="preserve">'Say THIS not THAT' — 5 words Indians say wrong in interviews</t>
  </si>
  <si>
    <t xml:space="preserve">DM 'QUIZ' for free English level test</t>
  </si>
  <si>
    <t xml:space="preserve">Blog</t>
  </si>
  <si>
    <t xml:space="preserve">Article (2000w)</t>
  </si>
  <si>
    <t xml:space="preserve">10 English Mistakes That Cost You The Job Interview</t>
  </si>
  <si>
    <t xml:space="preserve">Take free quiz → trial CTA</t>
  </si>
  <si>
    <t xml:space="preserve">Tue</t>
  </si>
  <si>
    <t xml:space="preserve">Reel (30s)</t>
  </si>
  <si>
    <t xml:space="preserve">Pronunciation fix: 'Development' — how Indians say it vs correct</t>
  </si>
  <si>
    <t xml:space="preserve">Link in bio for free course</t>
  </si>
  <si>
    <t xml:space="preserve">WhatsApp</t>
  </si>
  <si>
    <t xml:space="preserve">Vocabulary tip</t>
  </si>
  <si>
    <t xml:space="preserve">Word: 'Articulate' — meaning, pronunciation, 3 office examples</t>
  </si>
  <si>
    <t xml:space="preserve">Share with a friend who needs this</t>
  </si>
  <si>
    <t xml:space="preserve">Wed</t>
  </si>
  <si>
    <t xml:space="preserve">English Quiz: Which is correct? (poll sticker)</t>
  </si>
  <si>
    <t xml:space="preserve">Comment answer + follow for daily tips</t>
  </si>
  <si>
    <t xml:space="preserve">YouTube</t>
  </si>
  <si>
    <t xml:space="preserve">Long-form (12min)</t>
  </si>
  <si>
    <t xml:space="preserve">Complete Guide: How to Introduce Yourself in English Interview</t>
  </si>
  <si>
    <t xml:space="preserve">Subscribe + link to free course</t>
  </si>
  <si>
    <t xml:space="preserve">Thu</t>
  </si>
  <si>
    <t xml:space="preserve">Before vs After: Student transformation story (with permission)</t>
  </si>
  <si>
    <t xml:space="preserve">Book ₹99 trial — link in bio</t>
  </si>
  <si>
    <t xml:space="preserve">Broadcast</t>
  </si>
  <si>
    <t xml:space="preserve">Success story + 'Only 5 trial slots left this week'</t>
  </si>
  <si>
    <t xml:space="preserve">Click to book trial</t>
  </si>
  <si>
    <t xml:space="preserve">Fri</t>
  </si>
  <si>
    <t xml:space="preserve">'One Word, Three Uses' — Professional vocabulary builder</t>
  </si>
  <si>
    <t xml:space="preserve">Save this + share with your study group</t>
  </si>
  <si>
    <t xml:space="preserve">Article (1500w)</t>
  </si>
  <si>
    <t xml:space="preserve">Clapingo vs TryBoli vs EngVarta: Honest Comparison 2026</t>
  </si>
  <si>
    <t xml:space="preserve">Free quiz CTA throughout</t>
  </si>
  <si>
    <t xml:space="preserve">Sat</t>
  </si>
  <si>
    <t xml:space="preserve">Weekend challenge: Record yourself saying these 5 words</t>
  </si>
  <si>
    <t xml:space="preserve">Tag us for a free pronunciation review</t>
  </si>
  <si>
    <t xml:space="preserve">Short (60s)</t>
  </si>
  <si>
    <t xml:space="preserve">Repurpose best performing Reel of the week</t>
  </si>
  <si>
    <t xml:space="preserve">Subscribe for daily English tips</t>
  </si>
  <si>
    <t xml:space="preserve">'Email English' — 5 phrases that make you sound professional</t>
  </si>
  <si>
    <t xml:space="preserve">DM 'EMAIL' for free email template pack</t>
  </si>
  <si>
    <t xml:space="preserve">Business English for IT Professionals: The Complete Guide</t>
  </si>
  <si>
    <t xml:space="preserve">Free course CTA</t>
  </si>
  <si>
    <t xml:space="preserve">Meeting English: How to disagree politely (role play)</t>
  </si>
  <si>
    <t xml:space="preserve">Link in bio for Speaking Club</t>
  </si>
  <si>
    <t xml:space="preserve">Grammar quiz with common Indian mistakes</t>
  </si>
  <si>
    <t xml:space="preserve">Comment + follow</t>
  </si>
  <si>
    <t xml:space="preserve">Long-form (10min)</t>
  </si>
  <si>
    <t xml:space="preserve">How to Remove Mother Tongue Influence in English</t>
  </si>
  <si>
    <t xml:space="preserve">Free course link</t>
  </si>
  <si>
    <t xml:space="preserve">Mock interview clip — real student, real feedback</t>
  </si>
  <si>
    <t xml:space="preserve">Book trial</t>
  </si>
  <si>
    <t xml:space="preserve">Friday vocabulary: 5 words to impress your manager</t>
  </si>
  <si>
    <t xml:space="preserve">Save + share</t>
  </si>
  <si>
    <t xml:space="preserve">How to Prepare for English Round in Campus Placements</t>
  </si>
  <si>
    <t xml:space="preserve">Quiz CTA</t>
  </si>
  <si>
    <t xml:space="preserve">'Phone English' — How to answer calls professionally</t>
  </si>
  <si>
    <t xml:space="preserve">DM 'PHONE' for free script</t>
  </si>
  <si>
    <t xml:space="preserve">50 English Phrases for Office Meetings (With Hindi Meanings)</t>
  </si>
  <si>
    <t xml:space="preserve">Free course</t>
  </si>
  <si>
    <t xml:space="preserve">Accent training: 'TH' sound practice for Hindi speakers</t>
  </si>
  <si>
    <t xml:space="preserve">Link in bio</t>
  </si>
  <si>
    <t xml:space="preserve">English Speaking Practice: 30-Min Conversation Simulation</t>
  </si>
  <si>
    <t xml:space="preserve">Subscribe + trial</t>
  </si>
  <si>
    <t xml:space="preserve">Student testimonial — before/after confidence transformation</t>
  </si>
  <si>
    <t xml:space="preserve">Best English Speaking Courses Under ₹1000/Month in India</t>
  </si>
  <si>
    <t xml:space="preserve">Comparison + CTA</t>
  </si>
  <si>
    <t xml:space="preserve">'Presentation English' — Opening lines that grab attention</t>
  </si>
  <si>
    <t xml:space="preserve">DM for free presentation template</t>
  </si>
  <si>
    <t xml:space="preserve">English for Government Job Interviews: Complete Guide</t>
  </si>
  <si>
    <t xml:space="preserve">Common pronunciation mistakes: Restaurant, Entrepreneur, Suite</t>
  </si>
  <si>
    <t xml:space="preserve">Share with friends</t>
  </si>
  <si>
    <t xml:space="preserve">Group Discussion Tips in English — Campus Placement Special</t>
  </si>
  <si>
    <t xml:space="preserve">Month-end recap: What our students achieved this month</t>
  </si>
  <si>
    <t xml:space="preserve">Join them — book trial</t>
  </si>
  <si>
    <t xml:space="preserve">Why Human English Coaches Beat AI Apps (Honest Comparison)</t>
  </si>
  <si>
    <t xml:space="preserve">Trial CTA</t>
  </si>
  <si>
    <t xml:space="preserve">Carousel</t>
  </si>
  <si>
    <t xml:space="preserve">Month recap: Top 10 vocabulary words we learned together</t>
  </si>
  <si>
    <t xml:space="preserve">Save for revision</t>
  </si>
  <si>
    <t xml:space="preserve">B2B SALES PIPELINE TRACKER</t>
  </si>
  <si>
    <t xml:space="preserve">Company</t>
  </si>
  <si>
    <t xml:space="preserve">Contact Name</t>
  </si>
  <si>
    <t xml:space="preserve">Title</t>
  </si>
  <si>
    <t xml:space="preserve">Email</t>
  </si>
  <si>
    <t xml:space="preserve">LinkedIn</t>
  </si>
  <si>
    <t xml:space="preserve">Stage</t>
  </si>
  <si>
    <t xml:space="preserve">Last Touch Date</t>
  </si>
  <si>
    <t xml:space="preserve">Next Action</t>
  </si>
  <si>
    <t xml:space="preserve">Deal Value (₹)</t>
  </si>
  <si>
    <t xml:space="preserve">STAGES:</t>
  </si>
  <si>
    <t xml:space="preserve">Researched → Contacted → Replied → Meeting Set → Pilot → Proposal Sent → Negotiation → Closed Won → Closed Lost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</si>
</sst>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₹#,##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b val="true"/>
      <sz val="12"/>
      <color rgb="FFFF6F00"/>
      <name val="Arial"/>
      <family val="0"/>
      <charset val="1"/>
    </font>
    <font>
      <b val="true"/>
      <sz val="11"/>
      <color rgb="FFE65100"/>
      <name val="Arial"/>
      <family val="0"/>
      <charset val="1"/>
    </font>
    <font>
      <b val="true"/>
      <sz val="14"/>
      <color rgb="FFE65100"/>
      <name val="Arial"/>
      <family val="0"/>
      <charset val="1"/>
    </font>
    <font>
      <b val="true"/>
      <sz val="14"/>
      <color rgb="FF7B1FA2"/>
      <name val="Arial"/>
      <family val="0"/>
      <charset val="1"/>
    </font>
    <font>
      <b val="true"/>
      <sz val="14"/>
      <color rgb="FF1565C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F8E1"/>
      </patternFill>
    </fill>
    <fill>
      <patternFill patternType="solid">
        <fgColor rgb="FF2E7D32"/>
        <bgColor rgb="FF1B5E20"/>
      </patternFill>
    </fill>
    <fill>
      <patternFill patternType="solid">
        <fgColor rgb="FFC8E6C9"/>
        <bgColor rgb="FFCCCCCC"/>
      </patternFill>
    </fill>
    <fill>
      <patternFill patternType="solid">
        <fgColor rgb="FFFFCDD2"/>
        <bgColor rgb="FFEDE7F6"/>
      </patternFill>
    </fill>
    <fill>
      <patternFill patternType="solid">
        <fgColor rgb="FFFFF8E1"/>
        <bgColor rgb="FFFFF3E0"/>
      </patternFill>
    </fill>
    <fill>
      <patternFill patternType="solid">
        <fgColor rgb="FFE65100"/>
        <bgColor rgb="FFFF6F00"/>
      </patternFill>
    </fill>
    <fill>
      <patternFill patternType="solid">
        <fgColor rgb="FF7B1FA2"/>
        <bgColor rgb="FF800080"/>
      </patternFill>
    </fill>
    <fill>
      <patternFill patternType="solid">
        <fgColor rgb="FFEDE7F6"/>
        <bgColor rgb="FFE3F2FD"/>
      </patternFill>
    </fill>
    <fill>
      <patternFill patternType="solid">
        <fgColor rgb="FF1565C0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7B1FA2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F00"/>
      <rgbColor rgb="FF666699"/>
      <rgbColor rgb="FF969696"/>
      <rgbColor rgb="FF0F3460"/>
      <rgbColor rgb="FF2E7D32"/>
      <rgbColor rgb="FF003300"/>
      <rgbColor rgb="FF333300"/>
      <rgbColor rgb="FFE651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35"/>
    <col collapsed="false" customWidth="true" hidden="false" outlineLevel="0" max="4" min="4" style="1" width="12"/>
    <col collapsed="false" customWidth="true" hidden="false" outlineLevel="0" max="5" min="5" style="1" width="60"/>
    <col collapsed="false" customWidth="true" hidden="false" outlineLevel="0" max="6" min="6" style="1" width="1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24.75" hidden="false" customHeight="true" outlineLevel="0" collapsed="false">
      <c r="A4" s="4" t="s">
        <v>7</v>
      </c>
      <c r="B4" s="4"/>
      <c r="C4" s="4"/>
      <c r="D4" s="4"/>
      <c r="E4" s="4"/>
      <c r="F4" s="4"/>
    </row>
    <row r="5" customFormat="false" ht="49.5" hidden="false" customHeight="true" outlineLevel="0" collapsed="false">
      <c r="A5" s="5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customFormat="false" ht="49.5" hidden="false" customHeight="true" outlineLevel="0" collapsed="false">
      <c r="A6" s="5"/>
      <c r="B6" s="5" t="s">
        <v>13</v>
      </c>
      <c r="C6" s="5" t="s">
        <v>14</v>
      </c>
      <c r="D6" s="5" t="s">
        <v>10</v>
      </c>
      <c r="E6" s="5" t="s">
        <v>15</v>
      </c>
      <c r="F6" s="5" t="s">
        <v>12</v>
      </c>
    </row>
    <row r="7" customFormat="false" ht="49.5" hidden="false" customHeight="true" outlineLevel="0" collapsed="false">
      <c r="A7" s="5"/>
      <c r="B7" s="5" t="s">
        <v>16</v>
      </c>
      <c r="C7" s="5" t="s">
        <v>17</v>
      </c>
      <c r="D7" s="5" t="s">
        <v>10</v>
      </c>
      <c r="E7" s="5" t="s">
        <v>18</v>
      </c>
      <c r="F7" s="5" t="s">
        <v>12</v>
      </c>
    </row>
    <row r="8" customFormat="false" ht="49.5" hidden="false" customHeight="true" outlineLevel="0" collapsed="false">
      <c r="A8" s="6"/>
      <c r="B8" s="6" t="s">
        <v>19</v>
      </c>
      <c r="C8" s="6" t="s">
        <v>20</v>
      </c>
      <c r="D8" s="6" t="s">
        <v>21</v>
      </c>
      <c r="E8" s="6" t="s">
        <v>22</v>
      </c>
      <c r="F8" s="6" t="s">
        <v>12</v>
      </c>
    </row>
    <row r="9" customFormat="false" ht="49.5" hidden="false" customHeight="true" outlineLevel="0" collapsed="false">
      <c r="A9" s="6"/>
      <c r="B9" s="6" t="s">
        <v>23</v>
      </c>
      <c r="C9" s="6" t="s">
        <v>24</v>
      </c>
      <c r="D9" s="6" t="s">
        <v>21</v>
      </c>
      <c r="E9" s="6" t="s">
        <v>25</v>
      </c>
      <c r="F9" s="6" t="s">
        <v>12</v>
      </c>
    </row>
    <row r="10" customFormat="false" ht="49.5" hidden="false" customHeight="true" outlineLevel="0" collapsed="false">
      <c r="A10" s="6"/>
      <c r="B10" s="6" t="s">
        <v>26</v>
      </c>
      <c r="C10" s="6" t="s">
        <v>27</v>
      </c>
      <c r="D10" s="6" t="s">
        <v>21</v>
      </c>
      <c r="E10" s="6" t="s">
        <v>28</v>
      </c>
      <c r="F10" s="6" t="s">
        <v>12</v>
      </c>
    </row>
    <row r="11" customFormat="false" ht="49.5" hidden="false" customHeight="true" outlineLevel="0" collapsed="false">
      <c r="A11" s="7"/>
      <c r="B11" s="7" t="s">
        <v>29</v>
      </c>
      <c r="C11" s="7" t="s">
        <v>30</v>
      </c>
      <c r="D11" s="7" t="s">
        <v>31</v>
      </c>
      <c r="E11" s="7" t="s">
        <v>32</v>
      </c>
      <c r="F11" s="7" t="s">
        <v>12</v>
      </c>
    </row>
    <row r="12" customFormat="false" ht="24.75" hidden="false" customHeight="true" outlineLevel="0" collapsed="false">
      <c r="A12" s="4" t="s">
        <v>33</v>
      </c>
      <c r="B12" s="4"/>
      <c r="C12" s="4"/>
      <c r="D12" s="4"/>
      <c r="E12" s="4"/>
      <c r="F12" s="4"/>
    </row>
    <row r="13" customFormat="false" ht="49.5" hidden="false" customHeight="true" outlineLevel="0" collapsed="false">
      <c r="A13" s="5"/>
      <c r="B13" s="5" t="s">
        <v>8</v>
      </c>
      <c r="C13" s="5" t="s">
        <v>34</v>
      </c>
      <c r="D13" s="5" t="s">
        <v>10</v>
      </c>
      <c r="E13" s="5" t="s">
        <v>35</v>
      </c>
      <c r="F13" s="5" t="s">
        <v>12</v>
      </c>
    </row>
    <row r="14" customFormat="false" ht="49.5" hidden="false" customHeight="true" outlineLevel="0" collapsed="false">
      <c r="A14" s="5"/>
      <c r="B14" s="5" t="s">
        <v>13</v>
      </c>
      <c r="C14" s="5" t="s">
        <v>36</v>
      </c>
      <c r="D14" s="5" t="s">
        <v>10</v>
      </c>
      <c r="E14" s="5" t="s">
        <v>37</v>
      </c>
      <c r="F14" s="5" t="s">
        <v>12</v>
      </c>
    </row>
    <row r="15" customFormat="false" ht="49.5" hidden="false" customHeight="true" outlineLevel="0" collapsed="false">
      <c r="A15" s="5"/>
      <c r="B15" s="5" t="s">
        <v>16</v>
      </c>
      <c r="C15" s="5" t="s">
        <v>38</v>
      </c>
      <c r="D15" s="5" t="s">
        <v>10</v>
      </c>
      <c r="E15" s="5" t="s">
        <v>39</v>
      </c>
      <c r="F15" s="5" t="s">
        <v>12</v>
      </c>
    </row>
    <row r="16" customFormat="false" ht="49.5" hidden="false" customHeight="true" outlineLevel="0" collapsed="false">
      <c r="A16" s="6"/>
      <c r="B16" s="6" t="s">
        <v>40</v>
      </c>
      <c r="C16" s="6" t="s">
        <v>41</v>
      </c>
      <c r="D16" s="6" t="s">
        <v>21</v>
      </c>
      <c r="E16" s="6" t="s">
        <v>42</v>
      </c>
      <c r="F16" s="6" t="s">
        <v>12</v>
      </c>
    </row>
    <row r="17" customFormat="false" ht="49.5" hidden="false" customHeight="true" outlineLevel="0" collapsed="false">
      <c r="A17" s="6"/>
      <c r="B17" s="6" t="s">
        <v>43</v>
      </c>
      <c r="C17" s="6" t="s">
        <v>44</v>
      </c>
      <c r="D17" s="6" t="s">
        <v>21</v>
      </c>
      <c r="E17" s="6" t="s">
        <v>45</v>
      </c>
      <c r="F17" s="6" t="s">
        <v>12</v>
      </c>
    </row>
    <row r="18" customFormat="false" ht="49.5" hidden="false" customHeight="true" outlineLevel="0" collapsed="false">
      <c r="A18" s="6"/>
      <c r="B18" s="6" t="s">
        <v>46</v>
      </c>
      <c r="C18" s="6" t="s">
        <v>47</v>
      </c>
      <c r="D18" s="6" t="s">
        <v>21</v>
      </c>
      <c r="E18" s="6" t="s">
        <v>48</v>
      </c>
      <c r="F18" s="6" t="s">
        <v>12</v>
      </c>
    </row>
    <row r="19" customFormat="false" ht="49.5" hidden="false" customHeight="true" outlineLevel="0" collapsed="false">
      <c r="A19" s="6"/>
      <c r="B19" s="6" t="s">
        <v>49</v>
      </c>
      <c r="C19" s="6" t="s">
        <v>50</v>
      </c>
      <c r="D19" s="6" t="s">
        <v>21</v>
      </c>
      <c r="E19" s="6" t="s">
        <v>51</v>
      </c>
      <c r="F19" s="6" t="s">
        <v>12</v>
      </c>
    </row>
    <row r="20" customFormat="false" ht="24.75" hidden="false" customHeight="true" outlineLevel="0" collapsed="false">
      <c r="A20" s="4" t="s">
        <v>52</v>
      </c>
      <c r="B20" s="4"/>
      <c r="C20" s="4"/>
      <c r="D20" s="4"/>
      <c r="E20" s="4"/>
      <c r="F20" s="4"/>
    </row>
    <row r="21" customFormat="false" ht="49.5" hidden="false" customHeight="true" outlineLevel="0" collapsed="false">
      <c r="A21" s="5"/>
      <c r="B21" s="5" t="s">
        <v>8</v>
      </c>
      <c r="C21" s="5" t="s">
        <v>34</v>
      </c>
      <c r="D21" s="5" t="s">
        <v>10</v>
      </c>
      <c r="E21" s="5" t="s">
        <v>53</v>
      </c>
      <c r="F21" s="5" t="s">
        <v>12</v>
      </c>
    </row>
    <row r="22" customFormat="false" ht="49.5" hidden="false" customHeight="true" outlineLevel="0" collapsed="false">
      <c r="A22" s="5"/>
      <c r="B22" s="5" t="s">
        <v>54</v>
      </c>
      <c r="C22" s="5" t="s">
        <v>55</v>
      </c>
      <c r="D22" s="5" t="s">
        <v>10</v>
      </c>
      <c r="E22" s="5" t="s">
        <v>56</v>
      </c>
      <c r="F22" s="5" t="s">
        <v>12</v>
      </c>
    </row>
    <row r="23" customFormat="false" ht="49.5" hidden="false" customHeight="true" outlineLevel="0" collapsed="false">
      <c r="A23" s="5"/>
      <c r="B23" s="5" t="s">
        <v>57</v>
      </c>
      <c r="C23" s="5" t="s">
        <v>58</v>
      </c>
      <c r="D23" s="5" t="s">
        <v>10</v>
      </c>
      <c r="E23" s="5" t="s">
        <v>59</v>
      </c>
      <c r="F23" s="5" t="s">
        <v>12</v>
      </c>
    </row>
    <row r="24" customFormat="false" ht="49.5" hidden="false" customHeight="true" outlineLevel="0" collapsed="false">
      <c r="A24" s="6"/>
      <c r="B24" s="6" t="s">
        <v>60</v>
      </c>
      <c r="C24" s="6" t="s">
        <v>61</v>
      </c>
      <c r="D24" s="6" t="s">
        <v>21</v>
      </c>
      <c r="E24" s="6" t="s">
        <v>62</v>
      </c>
      <c r="F24" s="6" t="s">
        <v>12</v>
      </c>
    </row>
    <row r="25" customFormat="false" ht="49.5" hidden="false" customHeight="true" outlineLevel="0" collapsed="false">
      <c r="A25" s="6"/>
      <c r="B25" s="6" t="s">
        <v>63</v>
      </c>
      <c r="C25" s="6" t="s">
        <v>64</v>
      </c>
      <c r="D25" s="6" t="s">
        <v>21</v>
      </c>
      <c r="E25" s="6" t="s">
        <v>65</v>
      </c>
      <c r="F25" s="6" t="s">
        <v>12</v>
      </c>
    </row>
    <row r="26" customFormat="false" ht="49.5" hidden="false" customHeight="true" outlineLevel="0" collapsed="false">
      <c r="A26" s="6"/>
      <c r="B26" s="6" t="s">
        <v>46</v>
      </c>
      <c r="C26" s="6" t="s">
        <v>66</v>
      </c>
      <c r="D26" s="6" t="s">
        <v>21</v>
      </c>
      <c r="E26" s="6" t="s">
        <v>67</v>
      </c>
      <c r="F26" s="6" t="s">
        <v>12</v>
      </c>
    </row>
    <row r="27" customFormat="false" ht="49.5" hidden="false" customHeight="true" outlineLevel="0" collapsed="false">
      <c r="A27" s="6"/>
      <c r="B27" s="6" t="s">
        <v>49</v>
      </c>
      <c r="C27" s="6" t="s">
        <v>68</v>
      </c>
      <c r="D27" s="6" t="s">
        <v>21</v>
      </c>
      <c r="E27" s="6" t="s">
        <v>69</v>
      </c>
      <c r="F27" s="6" t="s">
        <v>12</v>
      </c>
    </row>
    <row r="28" customFormat="false" ht="24.75" hidden="false" customHeight="true" outlineLevel="0" collapsed="false">
      <c r="A28" s="4" t="s">
        <v>70</v>
      </c>
      <c r="B28" s="4"/>
      <c r="C28" s="4"/>
      <c r="D28" s="4"/>
      <c r="E28" s="4"/>
      <c r="F28" s="4"/>
    </row>
    <row r="29" customFormat="false" ht="49.5" hidden="false" customHeight="true" outlineLevel="0" collapsed="false">
      <c r="A29" s="5"/>
      <c r="B29" s="5" t="s">
        <v>8</v>
      </c>
      <c r="C29" s="5" t="s">
        <v>34</v>
      </c>
      <c r="D29" s="5" t="s">
        <v>10</v>
      </c>
      <c r="E29" s="5" t="s">
        <v>71</v>
      </c>
      <c r="F29" s="5" t="s">
        <v>12</v>
      </c>
    </row>
    <row r="30" customFormat="false" ht="49.5" hidden="false" customHeight="true" outlineLevel="0" collapsed="false">
      <c r="A30" s="5"/>
      <c r="B30" s="5" t="s">
        <v>72</v>
      </c>
      <c r="C30" s="5" t="s">
        <v>73</v>
      </c>
      <c r="D30" s="5" t="s">
        <v>10</v>
      </c>
      <c r="E30" s="5" t="s">
        <v>74</v>
      </c>
      <c r="F30" s="5" t="s">
        <v>12</v>
      </c>
    </row>
    <row r="31" customFormat="false" ht="49.5" hidden="false" customHeight="true" outlineLevel="0" collapsed="false">
      <c r="A31" s="5"/>
      <c r="B31" s="5" t="s">
        <v>60</v>
      </c>
      <c r="C31" s="5" t="s">
        <v>75</v>
      </c>
      <c r="D31" s="5" t="s">
        <v>10</v>
      </c>
      <c r="E31" s="5" t="s">
        <v>76</v>
      </c>
      <c r="F31" s="5" t="s">
        <v>12</v>
      </c>
    </row>
    <row r="32" customFormat="false" ht="49.5" hidden="false" customHeight="true" outlineLevel="0" collapsed="false">
      <c r="A32" s="5"/>
      <c r="B32" s="5" t="s">
        <v>63</v>
      </c>
      <c r="C32" s="5" t="s">
        <v>77</v>
      </c>
      <c r="D32" s="5" t="s">
        <v>10</v>
      </c>
      <c r="E32" s="5" t="s">
        <v>78</v>
      </c>
      <c r="F32" s="5" t="s">
        <v>12</v>
      </c>
    </row>
    <row r="33" customFormat="false" ht="49.5" hidden="false" customHeight="true" outlineLevel="0" collapsed="false">
      <c r="A33" s="6"/>
      <c r="B33" s="6" t="s">
        <v>79</v>
      </c>
      <c r="C33" s="6" t="s">
        <v>80</v>
      </c>
      <c r="D33" s="6" t="s">
        <v>21</v>
      </c>
      <c r="E33" s="6" t="s">
        <v>81</v>
      </c>
      <c r="F33" s="6" t="s">
        <v>12</v>
      </c>
    </row>
    <row r="34" customFormat="false" ht="49.5" hidden="false" customHeight="true" outlineLevel="0" collapsed="false">
      <c r="A34" s="6"/>
      <c r="B34" s="6" t="s">
        <v>82</v>
      </c>
      <c r="C34" s="6" t="s">
        <v>83</v>
      </c>
      <c r="D34" s="6" t="s">
        <v>21</v>
      </c>
      <c r="E34" s="6" t="s">
        <v>84</v>
      </c>
      <c r="F34" s="6" t="s">
        <v>12</v>
      </c>
    </row>
    <row r="35" customFormat="false" ht="49.5" hidden="false" customHeight="true" outlineLevel="0" collapsed="false">
      <c r="A35" s="6"/>
      <c r="B35" s="6" t="s">
        <v>29</v>
      </c>
      <c r="C35" s="6" t="s">
        <v>85</v>
      </c>
      <c r="D35" s="6" t="s">
        <v>21</v>
      </c>
      <c r="E35" s="6" t="s">
        <v>86</v>
      </c>
      <c r="F35" s="6" t="s">
        <v>12</v>
      </c>
    </row>
    <row r="36" customFormat="false" ht="24.75" hidden="false" customHeight="true" outlineLevel="0" collapsed="false">
      <c r="A36" s="4" t="s">
        <v>87</v>
      </c>
      <c r="B36" s="4"/>
      <c r="C36" s="4"/>
      <c r="D36" s="4"/>
      <c r="E36" s="4"/>
      <c r="F36" s="4"/>
    </row>
    <row r="37" customFormat="false" ht="49.5" hidden="false" customHeight="true" outlineLevel="0" collapsed="false">
      <c r="A37" s="5"/>
      <c r="B37" s="5" t="s">
        <v>8</v>
      </c>
      <c r="C37" s="5" t="s">
        <v>34</v>
      </c>
      <c r="D37" s="5" t="s">
        <v>10</v>
      </c>
      <c r="E37" s="5" t="s">
        <v>88</v>
      </c>
      <c r="F37" s="5" t="s">
        <v>12</v>
      </c>
    </row>
    <row r="38" customFormat="false" ht="49.5" hidden="false" customHeight="true" outlineLevel="0" collapsed="false">
      <c r="A38" s="5"/>
      <c r="B38" s="5" t="s">
        <v>13</v>
      </c>
      <c r="C38" s="5" t="s">
        <v>89</v>
      </c>
      <c r="D38" s="5" t="s">
        <v>10</v>
      </c>
      <c r="E38" s="5" t="s">
        <v>90</v>
      </c>
      <c r="F38" s="5" t="s">
        <v>12</v>
      </c>
    </row>
    <row r="39" customFormat="false" ht="49.5" hidden="false" customHeight="true" outlineLevel="0" collapsed="false">
      <c r="A39" s="5"/>
      <c r="B39" s="5" t="s">
        <v>16</v>
      </c>
      <c r="C39" s="5" t="s">
        <v>91</v>
      </c>
      <c r="D39" s="5" t="s">
        <v>10</v>
      </c>
      <c r="E39" s="5" t="s">
        <v>92</v>
      </c>
      <c r="F39" s="5" t="s">
        <v>12</v>
      </c>
    </row>
    <row r="40" customFormat="false" ht="49.5" hidden="false" customHeight="true" outlineLevel="0" collapsed="false">
      <c r="A40" s="5"/>
      <c r="B40" s="5" t="s">
        <v>40</v>
      </c>
      <c r="C40" s="5" t="s">
        <v>93</v>
      </c>
      <c r="D40" s="5" t="s">
        <v>10</v>
      </c>
      <c r="E40" s="5" t="s">
        <v>94</v>
      </c>
      <c r="F40" s="5" t="s">
        <v>12</v>
      </c>
    </row>
    <row r="41" customFormat="false" ht="49.5" hidden="false" customHeight="true" outlineLevel="0" collapsed="false">
      <c r="A41" s="6"/>
      <c r="B41" s="6" t="s">
        <v>23</v>
      </c>
      <c r="C41" s="6" t="s">
        <v>95</v>
      </c>
      <c r="D41" s="6" t="s">
        <v>21</v>
      </c>
      <c r="E41" s="6" t="s">
        <v>96</v>
      </c>
      <c r="F41" s="6" t="s">
        <v>12</v>
      </c>
    </row>
    <row r="42" customFormat="false" ht="49.5" hidden="false" customHeight="true" outlineLevel="0" collapsed="false">
      <c r="A42" s="6"/>
      <c r="B42" s="6" t="s">
        <v>97</v>
      </c>
      <c r="C42" s="6" t="s">
        <v>98</v>
      </c>
      <c r="D42" s="6" t="s">
        <v>21</v>
      </c>
      <c r="E42" s="6" t="s">
        <v>99</v>
      </c>
      <c r="F42" s="6" t="s">
        <v>12</v>
      </c>
    </row>
    <row r="43" customFormat="false" ht="49.5" hidden="false" customHeight="true" outlineLevel="0" collapsed="false">
      <c r="A43" s="7"/>
      <c r="B43" s="7" t="s">
        <v>49</v>
      </c>
      <c r="C43" s="7" t="s">
        <v>100</v>
      </c>
      <c r="D43" s="7" t="s">
        <v>31</v>
      </c>
      <c r="E43" s="7" t="s">
        <v>101</v>
      </c>
      <c r="F43" s="7" t="s">
        <v>12</v>
      </c>
    </row>
    <row r="44" customFormat="false" ht="24.75" hidden="false" customHeight="true" outlineLevel="0" collapsed="false">
      <c r="A44" s="4" t="s">
        <v>102</v>
      </c>
      <c r="B44" s="4"/>
      <c r="C44" s="4"/>
      <c r="D44" s="4"/>
      <c r="E44" s="4"/>
      <c r="F44" s="4"/>
    </row>
    <row r="45" customFormat="false" ht="49.5" hidden="false" customHeight="true" outlineLevel="0" collapsed="false">
      <c r="A45" s="5"/>
      <c r="B45" s="5" t="s">
        <v>103</v>
      </c>
      <c r="C45" s="5" t="s">
        <v>104</v>
      </c>
      <c r="D45" s="5" t="s">
        <v>10</v>
      </c>
      <c r="E45" s="5" t="s">
        <v>105</v>
      </c>
      <c r="F45" s="5" t="s">
        <v>12</v>
      </c>
    </row>
    <row r="46" customFormat="false" ht="49.5" hidden="false" customHeight="true" outlineLevel="0" collapsed="false">
      <c r="A46" s="5"/>
      <c r="B46" s="5" t="s">
        <v>57</v>
      </c>
      <c r="C46" s="5" t="s">
        <v>106</v>
      </c>
      <c r="D46" s="5" t="s">
        <v>10</v>
      </c>
      <c r="E46" s="5" t="s">
        <v>107</v>
      </c>
      <c r="F46" s="5" t="s">
        <v>12</v>
      </c>
    </row>
    <row r="47" customFormat="false" ht="49.5" hidden="false" customHeight="true" outlineLevel="0" collapsed="false">
      <c r="A47" s="6"/>
      <c r="B47" s="6" t="s">
        <v>108</v>
      </c>
      <c r="C47" s="6" t="s">
        <v>109</v>
      </c>
      <c r="D47" s="6" t="s">
        <v>21</v>
      </c>
      <c r="E47" s="6" t="s">
        <v>110</v>
      </c>
      <c r="F47" s="6" t="s">
        <v>12</v>
      </c>
    </row>
    <row r="48" customFormat="false" ht="49.5" hidden="false" customHeight="true" outlineLevel="0" collapsed="false">
      <c r="A48" s="6"/>
      <c r="B48" s="6" t="s">
        <v>111</v>
      </c>
      <c r="C48" s="6" t="s">
        <v>112</v>
      </c>
      <c r="D48" s="6" t="s">
        <v>21</v>
      </c>
      <c r="E48" s="6" t="s">
        <v>113</v>
      </c>
      <c r="F48" s="6" t="s">
        <v>12</v>
      </c>
    </row>
    <row r="49" customFormat="false" ht="24.75" hidden="false" customHeight="true" outlineLevel="0" collapsed="false">
      <c r="A49" s="4" t="s">
        <v>114</v>
      </c>
      <c r="B49" s="4"/>
      <c r="C49" s="4"/>
      <c r="D49" s="4"/>
      <c r="E49" s="4"/>
      <c r="F49" s="4"/>
    </row>
    <row r="50" customFormat="false" ht="49.5" hidden="false" customHeight="true" outlineLevel="0" collapsed="false">
      <c r="A50" s="5"/>
      <c r="B50" s="5" t="s">
        <v>115</v>
      </c>
      <c r="C50" s="5" t="s">
        <v>116</v>
      </c>
      <c r="D50" s="5" t="s">
        <v>10</v>
      </c>
      <c r="E50" s="5" t="s">
        <v>117</v>
      </c>
      <c r="F50" s="5" t="s">
        <v>12</v>
      </c>
    </row>
    <row r="52" customFormat="false" ht="15" hidden="false" customHeight="true" outlineLevel="0" collapsed="false">
      <c r="A52" s="8" t="s">
        <v>118</v>
      </c>
    </row>
    <row r="53" customFormat="false" ht="15" hidden="false" customHeight="true" outlineLevel="0" collapsed="false">
      <c r="A53" s="9" t="s">
        <v>119</v>
      </c>
    </row>
    <row r="54" customFormat="false" ht="15" hidden="false" customHeight="true" outlineLevel="0" collapsed="false">
      <c r="A54" s="10" t="s">
        <v>120</v>
      </c>
    </row>
    <row r="55" customFormat="false" ht="15" hidden="false" customHeight="true" outlineLevel="0" collapsed="false">
      <c r="A55" s="11" t="s">
        <v>121</v>
      </c>
    </row>
  </sheetData>
  <mergeCells count="8">
    <mergeCell ref="A1:F1"/>
    <mergeCell ref="A4:F4"/>
    <mergeCell ref="A12:F12"/>
    <mergeCell ref="A20:F20"/>
    <mergeCell ref="A28:F28"/>
    <mergeCell ref="A36:F36"/>
    <mergeCell ref="A44:F44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4"/>
    <col collapsed="false" customWidth="true" hidden="false" outlineLevel="0" max="8" min="8" style="1" width="40"/>
  </cols>
  <sheetData>
    <row r="1" customFormat="false" ht="17.25" hidden="false" customHeight="true" outlineLevel="0" collapsed="false">
      <c r="A1" s="12" t="s">
        <v>122</v>
      </c>
      <c r="B1" s="12"/>
      <c r="C1" s="12"/>
      <c r="D1" s="12"/>
      <c r="E1" s="12"/>
      <c r="F1" s="12"/>
      <c r="G1" s="12"/>
      <c r="H1" s="12"/>
    </row>
    <row r="3" customFormat="false" ht="15" hidden="false" customHeight="true" outlineLevel="0" collapsed="false">
      <c r="A3" s="13" t="s">
        <v>123</v>
      </c>
      <c r="B3" s="13" t="s">
        <v>124</v>
      </c>
      <c r="C3" s="13" t="s">
        <v>125</v>
      </c>
      <c r="D3" s="13" t="s">
        <v>126</v>
      </c>
      <c r="E3" s="13" t="s">
        <v>127</v>
      </c>
      <c r="F3" s="13" t="s">
        <v>128</v>
      </c>
      <c r="G3" s="13" t="s">
        <v>129</v>
      </c>
      <c r="H3" s="13" t="s">
        <v>130</v>
      </c>
    </row>
    <row r="4" customFormat="false" ht="15" hidden="false" customHeight="true" outlineLevel="0" collapsed="false">
      <c r="A4" s="14" t="s">
        <v>131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132</v>
      </c>
      <c r="B5" s="15" t="n">
        <v>150</v>
      </c>
      <c r="C5" s="15" t="n">
        <v>400</v>
      </c>
      <c r="D5" s="15" t="n">
        <v>800</v>
      </c>
      <c r="E5" s="16" t="n">
        <v>3000</v>
      </c>
      <c r="F5" s="16" t="n">
        <v>6000</v>
      </c>
      <c r="G5" s="16" t="n">
        <v>12000</v>
      </c>
      <c r="H5" s="15" t="s">
        <v>133</v>
      </c>
    </row>
    <row r="6" customFormat="false" ht="15" hidden="false" customHeight="true" outlineLevel="0" collapsed="false">
      <c r="A6" s="15" t="s">
        <v>134</v>
      </c>
      <c r="B6" s="15" t="n">
        <v>80</v>
      </c>
      <c r="C6" s="15" t="n">
        <v>250</v>
      </c>
      <c r="D6" s="15" t="n">
        <v>500</v>
      </c>
      <c r="E6" s="16" t="n">
        <v>2000</v>
      </c>
      <c r="F6" s="16" t="n">
        <v>4000</v>
      </c>
      <c r="G6" s="16" t="n">
        <v>8000</v>
      </c>
      <c r="H6" s="15" t="s">
        <v>135</v>
      </c>
    </row>
    <row r="7" customFormat="false" ht="15" hidden="false" customHeight="true" outlineLevel="0" collapsed="false">
      <c r="A7" s="15" t="s">
        <v>136</v>
      </c>
      <c r="B7" s="15" t="n">
        <v>300</v>
      </c>
      <c r="C7" s="15" t="n">
        <v>800</v>
      </c>
      <c r="D7" s="16" t="n">
        <v>1500</v>
      </c>
      <c r="E7" s="16" t="n">
        <v>4000</v>
      </c>
      <c r="F7" s="16" t="n">
        <v>7000</v>
      </c>
      <c r="G7" s="16" t="n">
        <v>12000</v>
      </c>
      <c r="H7" s="15" t="s">
        <v>137</v>
      </c>
    </row>
    <row r="8" customFormat="false" ht="15" hidden="false" customHeight="true" outlineLevel="0" collapsed="false">
      <c r="A8" s="15" t="s">
        <v>138</v>
      </c>
      <c r="B8" s="15" t="n">
        <v>50</v>
      </c>
      <c r="C8" s="15" t="n">
        <v>150</v>
      </c>
      <c r="D8" s="15" t="n">
        <v>400</v>
      </c>
      <c r="E8" s="16" t="n">
        <v>1200</v>
      </c>
      <c r="F8" s="16" t="n">
        <v>2500</v>
      </c>
      <c r="G8" s="16" t="n">
        <v>5000</v>
      </c>
      <c r="H8" s="15" t="s">
        <v>139</v>
      </c>
    </row>
    <row r="9" customFormat="false" ht="15" hidden="false" customHeight="true" outlineLevel="0" collapsed="false">
      <c r="A9" s="15" t="s">
        <v>140</v>
      </c>
      <c r="B9" s="15" t="n">
        <v>200</v>
      </c>
      <c r="C9" s="15" t="n">
        <v>600</v>
      </c>
      <c r="D9" s="16" t="n">
        <v>1500</v>
      </c>
      <c r="E9" s="16" t="n">
        <v>5000</v>
      </c>
      <c r="F9" s="16" t="n">
        <v>10000</v>
      </c>
      <c r="G9" s="16" t="n">
        <v>20000</v>
      </c>
      <c r="H9" s="15" t="s">
        <v>141</v>
      </c>
    </row>
    <row r="10" customFormat="false" ht="15" hidden="false" customHeight="true" outlineLevel="0" collapsed="false">
      <c r="A10" s="15" t="s">
        <v>142</v>
      </c>
      <c r="B10" s="15" t="n">
        <v>30</v>
      </c>
      <c r="C10" s="15" t="n">
        <v>100</v>
      </c>
      <c r="D10" s="15" t="n">
        <v>300</v>
      </c>
      <c r="E10" s="16" t="n">
        <v>1500</v>
      </c>
      <c r="F10" s="16" t="n">
        <v>3000</v>
      </c>
      <c r="G10" s="16" t="n">
        <v>8000</v>
      </c>
      <c r="H10" s="15" t="s">
        <v>143</v>
      </c>
    </row>
    <row r="11" customFormat="false" ht="15" hidden="false" customHeight="true" outlineLevel="0" collapsed="false">
      <c r="A11" s="15" t="s">
        <v>144</v>
      </c>
      <c r="B11" s="15" t="n">
        <v>300</v>
      </c>
      <c r="C11" s="15" t="n">
        <v>800</v>
      </c>
      <c r="D11" s="16" t="n">
        <v>2000</v>
      </c>
      <c r="E11" s="16" t="n">
        <v>8000</v>
      </c>
      <c r="F11" s="16" t="n">
        <v>16000</v>
      </c>
      <c r="G11" s="16" t="n">
        <v>35000</v>
      </c>
      <c r="H11" s="15" t="s">
        <v>145</v>
      </c>
    </row>
    <row r="12" customFormat="false" ht="15" hidden="false" customHeight="true" outlineLevel="0" collapsed="false">
      <c r="A12" s="14" t="s">
        <v>146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true" outlineLevel="0" collapsed="false">
      <c r="A13" s="15" t="s">
        <v>147</v>
      </c>
      <c r="B13" s="15" t="n">
        <v>15</v>
      </c>
      <c r="C13" s="15" t="n">
        <v>35</v>
      </c>
      <c r="D13" s="15" t="n">
        <v>60</v>
      </c>
      <c r="E13" s="15" t="n">
        <v>150</v>
      </c>
      <c r="F13" s="15" t="n">
        <v>250</v>
      </c>
      <c r="G13" s="15" t="n">
        <v>400</v>
      </c>
      <c r="H13" s="15" t="s">
        <v>148</v>
      </c>
    </row>
    <row r="14" customFormat="false" ht="15" hidden="false" customHeight="true" outlineLevel="0" collapsed="false">
      <c r="A14" s="15" t="s">
        <v>149</v>
      </c>
      <c r="B14" s="15" t="s">
        <v>150</v>
      </c>
      <c r="C14" s="15" t="s">
        <v>151</v>
      </c>
      <c r="D14" s="15" t="s">
        <v>152</v>
      </c>
      <c r="E14" s="15" t="s">
        <v>153</v>
      </c>
      <c r="F14" s="15" t="s">
        <v>154</v>
      </c>
      <c r="G14" s="15" t="s">
        <v>155</v>
      </c>
      <c r="H14" s="15" t="s">
        <v>156</v>
      </c>
    </row>
    <row r="15" customFormat="false" ht="15" hidden="false" customHeight="true" outlineLevel="0" collapsed="false">
      <c r="A15" s="15" t="s">
        <v>157</v>
      </c>
      <c r="B15" s="15" t="n">
        <v>2</v>
      </c>
      <c r="C15" s="15" t="n">
        <v>6</v>
      </c>
      <c r="D15" s="15" t="n">
        <v>13</v>
      </c>
      <c r="E15" s="15" t="n">
        <v>38</v>
      </c>
      <c r="F15" s="15" t="n">
        <v>70</v>
      </c>
      <c r="G15" s="15" t="n">
        <v>120</v>
      </c>
      <c r="H15" s="15" t="s">
        <v>158</v>
      </c>
    </row>
    <row r="16" customFormat="false" ht="15" hidden="false" customHeight="true" outlineLevel="0" collapsed="false">
      <c r="A16" s="15" t="s">
        <v>159</v>
      </c>
      <c r="B16" s="15" t="n">
        <v>2</v>
      </c>
      <c r="C16" s="15" t="n">
        <v>8</v>
      </c>
      <c r="D16" s="15" t="n">
        <v>20</v>
      </c>
      <c r="E16" s="15" t="n">
        <v>80</v>
      </c>
      <c r="F16" s="15" t="n">
        <v>180</v>
      </c>
      <c r="G16" s="15" t="n">
        <v>350</v>
      </c>
      <c r="H16" s="15" t="s">
        <v>160</v>
      </c>
    </row>
    <row r="17" customFormat="false" ht="15" hidden="false" customHeight="true" outlineLevel="0" collapsed="false">
      <c r="A17" s="15" t="s">
        <v>161</v>
      </c>
      <c r="B17" s="15" t="n">
        <v>999</v>
      </c>
      <c r="C17" s="15" t="n">
        <v>999</v>
      </c>
      <c r="D17" s="16" t="n">
        <v>1099</v>
      </c>
      <c r="E17" s="16" t="n">
        <v>1199</v>
      </c>
      <c r="F17" s="16" t="n">
        <v>1299</v>
      </c>
      <c r="G17" s="16" t="n">
        <v>1499</v>
      </c>
      <c r="H17" s="15" t="s">
        <v>162</v>
      </c>
    </row>
    <row r="18" customFormat="false" ht="15" hidden="false" customHeight="true" outlineLevel="0" collapsed="false">
      <c r="A18" s="14" t="s">
        <v>163</v>
      </c>
      <c r="B18" s="14"/>
      <c r="C18" s="14"/>
      <c r="D18" s="14"/>
      <c r="E18" s="14"/>
      <c r="F18" s="14"/>
      <c r="G18" s="14"/>
      <c r="H18" s="14"/>
    </row>
    <row r="19" customFormat="false" ht="15" hidden="false" customHeight="true" outlineLevel="0" collapsed="false">
      <c r="A19" s="15" t="s">
        <v>164</v>
      </c>
      <c r="B19" s="15" t="n">
        <v>200</v>
      </c>
      <c r="C19" s="15" t="n">
        <v>200</v>
      </c>
      <c r="D19" s="15" t="n">
        <v>200</v>
      </c>
      <c r="E19" s="15" t="n">
        <v>200</v>
      </c>
      <c r="F19" s="15" t="n">
        <v>200</v>
      </c>
      <c r="G19" s="15" t="n">
        <v>200</v>
      </c>
      <c r="H19" s="15" t="s">
        <v>165</v>
      </c>
    </row>
    <row r="20" customFormat="false" ht="15" hidden="false" customHeight="true" outlineLevel="0" collapsed="false">
      <c r="A20" s="15" t="s">
        <v>166</v>
      </c>
      <c r="B20" s="15" t="n">
        <v>2</v>
      </c>
      <c r="C20" s="15" t="n">
        <v>4</v>
      </c>
      <c r="D20" s="15" t="n">
        <v>6</v>
      </c>
      <c r="E20" s="15" t="n">
        <v>10</v>
      </c>
      <c r="F20" s="15" t="n">
        <v>12</v>
      </c>
      <c r="G20" s="15" t="n">
        <v>15</v>
      </c>
      <c r="H20" s="15" t="s">
        <v>167</v>
      </c>
    </row>
    <row r="21" customFormat="false" ht="15" hidden="false" customHeight="true" outlineLevel="0" collapsed="false">
      <c r="A21" s="15" t="s">
        <v>168</v>
      </c>
      <c r="B21" s="15" t="n">
        <v>0</v>
      </c>
      <c r="C21" s="15" t="n">
        <v>1</v>
      </c>
      <c r="D21" s="15" t="n">
        <v>2</v>
      </c>
      <c r="E21" s="15" t="n">
        <v>4</v>
      </c>
      <c r="F21" s="15" t="n">
        <v>6</v>
      </c>
      <c r="G21" s="15" t="n">
        <v>8</v>
      </c>
      <c r="H21" s="15" t="s">
        <v>169</v>
      </c>
    </row>
    <row r="22" customFormat="false" ht="15" hidden="false" customHeight="true" outlineLevel="0" collapsed="false">
      <c r="A22" s="15" t="s">
        <v>170</v>
      </c>
      <c r="B22" s="15" t="n">
        <v>0</v>
      </c>
      <c r="C22" s="15" t="n">
        <v>0</v>
      </c>
      <c r="D22" s="15" t="n">
        <v>1</v>
      </c>
      <c r="E22" s="15" t="n">
        <v>3</v>
      </c>
      <c r="F22" s="15" t="n">
        <v>5</v>
      </c>
      <c r="G22" s="15" t="n">
        <v>8</v>
      </c>
      <c r="H22" s="15" t="s">
        <v>171</v>
      </c>
    </row>
    <row r="23" customFormat="false" ht="15" hidden="false" customHeight="true" outlineLevel="0" collapsed="false">
      <c r="A23" s="15" t="s">
        <v>172</v>
      </c>
      <c r="B23" s="15" t="n">
        <v>0</v>
      </c>
      <c r="C23" s="15" t="n">
        <v>0</v>
      </c>
      <c r="D23" s="15" t="n">
        <v>30</v>
      </c>
      <c r="E23" s="15" t="n">
        <v>40</v>
      </c>
      <c r="F23" s="15" t="n">
        <v>50</v>
      </c>
      <c r="G23" s="15" t="n">
        <v>50</v>
      </c>
      <c r="H23" s="15" t="s">
        <v>173</v>
      </c>
    </row>
    <row r="24" customFormat="false" ht="15" hidden="false" customHeight="true" outlineLevel="0" collapsed="false">
      <c r="A24" s="15" t="s">
        <v>174</v>
      </c>
      <c r="B24" s="15" t="n">
        <v>0</v>
      </c>
      <c r="C24" s="15" t="n">
        <v>0</v>
      </c>
      <c r="D24" s="15" t="n">
        <v>800</v>
      </c>
      <c r="E24" s="16" t="n">
        <v>1000</v>
      </c>
      <c r="F24" s="16" t="n">
        <v>1000</v>
      </c>
      <c r="G24" s="16" t="n">
        <v>1200</v>
      </c>
      <c r="H24" s="15"/>
    </row>
    <row r="25" customFormat="false" ht="15" hidden="false" customHeight="true" outlineLevel="0" collapsed="false">
      <c r="A25" s="14" t="s">
        <v>175</v>
      </c>
      <c r="B25" s="14"/>
      <c r="C25" s="14"/>
      <c r="D25" s="14"/>
      <c r="E25" s="14"/>
      <c r="F25" s="14"/>
      <c r="G25" s="14"/>
      <c r="H25" s="14"/>
    </row>
    <row r="26" customFormat="false" ht="15" hidden="false" customHeight="true" outlineLevel="0" collapsed="false">
      <c r="A26" s="15" t="s">
        <v>176</v>
      </c>
      <c r="B26" s="15" t="n">
        <v>10</v>
      </c>
      <c r="C26" s="15" t="n">
        <v>20</v>
      </c>
      <c r="D26" s="15" t="n">
        <v>30</v>
      </c>
      <c r="E26" s="15" t="n">
        <v>60</v>
      </c>
      <c r="F26" s="15" t="n">
        <v>80</v>
      </c>
      <c r="G26" s="15" t="n">
        <v>100</v>
      </c>
      <c r="H26" s="15"/>
    </row>
    <row r="27" customFormat="false" ht="15" hidden="false" customHeight="true" outlineLevel="0" collapsed="false">
      <c r="A27" s="15" t="s">
        <v>177</v>
      </c>
      <c r="B27" s="15" t="n">
        <v>0</v>
      </c>
      <c r="C27" s="15" t="n">
        <v>1</v>
      </c>
      <c r="D27" s="15" t="n">
        <v>3</v>
      </c>
      <c r="E27" s="15" t="n">
        <v>8</v>
      </c>
      <c r="F27" s="15" t="n">
        <v>12</v>
      </c>
      <c r="G27" s="15" t="n">
        <v>18</v>
      </c>
      <c r="H27" s="15" t="s">
        <v>178</v>
      </c>
    </row>
    <row r="28" customFormat="false" ht="15" hidden="false" customHeight="true" outlineLevel="0" collapsed="false">
      <c r="A28" s="15" t="s">
        <v>179</v>
      </c>
      <c r="B28" s="15" t="n">
        <v>0</v>
      </c>
      <c r="C28" s="15" t="n">
        <v>0</v>
      </c>
      <c r="D28" s="15" t="n">
        <v>0</v>
      </c>
      <c r="E28" s="15" t="n">
        <v>2</v>
      </c>
      <c r="F28" s="15" t="n">
        <v>4</v>
      </c>
      <c r="G28" s="15" t="n">
        <v>8</v>
      </c>
      <c r="H28" s="15" t="s">
        <v>180</v>
      </c>
    </row>
    <row r="29" customFormat="false" ht="15" hidden="false" customHeight="true" outlineLevel="0" collapsed="false">
      <c r="A29" s="15" t="s">
        <v>181</v>
      </c>
      <c r="B29" s="15" t="n">
        <v>0</v>
      </c>
      <c r="C29" s="15" t="n">
        <v>0</v>
      </c>
      <c r="D29" s="15" t="n">
        <v>0</v>
      </c>
      <c r="E29" s="15" t="n">
        <v>50</v>
      </c>
      <c r="F29" s="15" t="n">
        <v>60</v>
      </c>
      <c r="G29" s="15" t="n">
        <v>80</v>
      </c>
      <c r="H29" s="15"/>
    </row>
    <row r="30" customFormat="false" ht="15" hidden="false" customHeight="true" outlineLevel="0" collapsed="false">
      <c r="A30" s="15" t="s">
        <v>182</v>
      </c>
      <c r="B30" s="15" t="n">
        <v>0</v>
      </c>
      <c r="C30" s="15" t="n">
        <v>0</v>
      </c>
      <c r="D30" s="15" t="n">
        <v>0</v>
      </c>
      <c r="E30" s="16" t="n">
        <v>3000</v>
      </c>
      <c r="F30" s="16" t="n">
        <v>3500</v>
      </c>
      <c r="G30" s="16" t="n">
        <v>4000</v>
      </c>
      <c r="H30" s="15" t="s">
        <v>183</v>
      </c>
    </row>
    <row r="31" customFormat="false" ht="15" hidden="false" customHeight="true" outlineLevel="0" collapsed="false">
      <c r="A31" s="14" t="s">
        <v>184</v>
      </c>
      <c r="B31" s="14"/>
      <c r="C31" s="14"/>
      <c r="D31" s="14"/>
      <c r="E31" s="14"/>
      <c r="F31" s="14"/>
      <c r="G31" s="14"/>
      <c r="H31" s="14"/>
    </row>
    <row r="32" customFormat="false" ht="15" hidden="false" customHeight="true" outlineLevel="0" collapsed="false">
      <c r="A32" s="15" t="s">
        <v>185</v>
      </c>
      <c r="B32" s="16" t="n">
        <v>2000</v>
      </c>
      <c r="C32" s="16" t="n">
        <v>8000</v>
      </c>
      <c r="D32" s="16" t="n">
        <v>22000</v>
      </c>
      <c r="E32" s="16" t="n">
        <v>96000</v>
      </c>
      <c r="F32" s="16" t="n">
        <v>234000</v>
      </c>
      <c r="G32" s="16" t="n">
        <v>525000</v>
      </c>
      <c r="H32" s="15" t="s">
        <v>186</v>
      </c>
    </row>
    <row r="33" customFormat="false" ht="15" hidden="false" customHeight="true" outlineLevel="0" collapsed="false">
      <c r="A33" s="15" t="s">
        <v>187</v>
      </c>
      <c r="B33" s="16" t="n">
        <v>1500</v>
      </c>
      <c r="C33" s="16" t="n">
        <v>3500</v>
      </c>
      <c r="D33" s="16" t="n">
        <v>6000</v>
      </c>
      <c r="E33" s="16" t="n">
        <v>15000</v>
      </c>
      <c r="F33" s="16" t="n">
        <v>25000</v>
      </c>
      <c r="G33" s="16" t="n">
        <v>40000</v>
      </c>
      <c r="H33" s="15" t="s">
        <v>148</v>
      </c>
    </row>
    <row r="34" customFormat="false" ht="15" hidden="false" customHeight="true" outlineLevel="0" collapsed="false">
      <c r="A34" s="15" t="s">
        <v>188</v>
      </c>
      <c r="B34" s="15" t="n">
        <v>0</v>
      </c>
      <c r="C34" s="15" t="n">
        <v>0</v>
      </c>
      <c r="D34" s="16" t="n">
        <v>24000</v>
      </c>
      <c r="E34" s="16" t="n">
        <v>120000</v>
      </c>
      <c r="F34" s="16" t="n">
        <v>250000</v>
      </c>
      <c r="G34" s="16" t="n">
        <v>480000</v>
      </c>
      <c r="H34" s="15" t="s">
        <v>189</v>
      </c>
    </row>
    <row r="35" customFormat="false" ht="15" hidden="false" customHeight="true" outlineLevel="0" collapsed="false">
      <c r="A35" s="15" t="s">
        <v>190</v>
      </c>
      <c r="B35" s="15" t="n">
        <v>0</v>
      </c>
      <c r="C35" s="15" t="n">
        <v>0</v>
      </c>
      <c r="D35" s="15" t="n">
        <v>0</v>
      </c>
      <c r="E35" s="16" t="n">
        <v>25000</v>
      </c>
      <c r="F35" s="16" t="n">
        <v>70000</v>
      </c>
      <c r="G35" s="16" t="n">
        <v>213000</v>
      </c>
      <c r="H35" s="15" t="s">
        <v>191</v>
      </c>
    </row>
    <row r="36" customFormat="false" ht="15" hidden="false" customHeight="true" outlineLevel="0" collapsed="false">
      <c r="A36" s="15" t="s">
        <v>192</v>
      </c>
      <c r="B36" s="15" t="n">
        <v>0</v>
      </c>
      <c r="C36" s="16" t="n">
        <v>2000</v>
      </c>
      <c r="D36" s="16" t="n">
        <v>5000</v>
      </c>
      <c r="E36" s="16" t="n">
        <v>20000</v>
      </c>
      <c r="F36" s="16" t="n">
        <v>40000</v>
      </c>
      <c r="G36" s="16" t="n">
        <v>80000</v>
      </c>
      <c r="H36" s="15" t="s">
        <v>193</v>
      </c>
    </row>
    <row r="37" customFormat="false" ht="15" hidden="false" customHeight="true" outlineLevel="0" collapsed="false">
      <c r="A37" s="15" t="s">
        <v>194</v>
      </c>
      <c r="B37" s="15" t="n">
        <v>0</v>
      </c>
      <c r="C37" s="15" t="n">
        <v>0</v>
      </c>
      <c r="D37" s="16" t="n">
        <v>8000</v>
      </c>
      <c r="E37" s="16" t="n">
        <v>30000</v>
      </c>
      <c r="F37" s="16" t="n">
        <v>60000</v>
      </c>
      <c r="G37" s="16" t="n">
        <v>120000</v>
      </c>
      <c r="H37" s="15" t="s">
        <v>195</v>
      </c>
    </row>
    <row r="38" customFormat="false" ht="26.25" hidden="false" customHeight="true" outlineLevel="0" collapsed="false">
      <c r="A38" s="17" t="s">
        <v>196</v>
      </c>
      <c r="B38" s="18" t="n">
        <f aca="false">SUM(B32:B37)</f>
        <v>3500</v>
      </c>
      <c r="C38" s="18" t="n">
        <f aca="false">SUM(C32:C37)</f>
        <v>13500</v>
      </c>
      <c r="D38" s="18" t="n">
        <f aca="false">SUM(D32:D37)</f>
        <v>65000</v>
      </c>
      <c r="E38" s="18" t="n">
        <f aca="false">SUM(E32:E37)</f>
        <v>306000</v>
      </c>
      <c r="F38" s="18" t="n">
        <f aca="false">SUM(F32:F37)</f>
        <v>679000</v>
      </c>
      <c r="G38" s="18" t="n">
        <f aca="false">SUM(G32:G37)</f>
        <v>1458000</v>
      </c>
      <c r="H38" s="17"/>
    </row>
    <row r="39" customFormat="false" ht="15" hidden="false" customHeight="true" outlineLevel="0" collapsed="false">
      <c r="A39" s="14" t="s">
        <v>197</v>
      </c>
      <c r="B39" s="14"/>
      <c r="C39" s="14"/>
      <c r="D39" s="14"/>
      <c r="E39" s="14"/>
      <c r="F39" s="14"/>
      <c r="G39" s="14"/>
      <c r="H39" s="14"/>
    </row>
    <row r="40" customFormat="false" ht="15" hidden="false" customHeight="true" outlineLevel="0" collapsed="false">
      <c r="A40" s="15" t="s">
        <v>198</v>
      </c>
      <c r="B40" s="16" t="n">
        <v>15000</v>
      </c>
      <c r="C40" s="16" t="n">
        <v>15000</v>
      </c>
      <c r="D40" s="16" t="n">
        <v>20000</v>
      </c>
      <c r="E40" s="16" t="n">
        <v>30000</v>
      </c>
      <c r="F40" s="16" t="n">
        <v>40000</v>
      </c>
      <c r="G40" s="16" t="n">
        <v>50000</v>
      </c>
      <c r="H40" s="15" t="s">
        <v>199</v>
      </c>
    </row>
    <row r="41" customFormat="false" ht="15" hidden="false" customHeight="true" outlineLevel="0" collapsed="false">
      <c r="A41" s="15" t="s">
        <v>200</v>
      </c>
      <c r="B41" s="15" t="n">
        <v>999</v>
      </c>
      <c r="C41" s="15" t="n">
        <v>999</v>
      </c>
      <c r="D41" s="16" t="n">
        <v>1500</v>
      </c>
      <c r="E41" s="16" t="n">
        <v>2000</v>
      </c>
      <c r="F41" s="16" t="n">
        <v>3000</v>
      </c>
      <c r="G41" s="16" t="n">
        <v>5000</v>
      </c>
      <c r="H41" s="15" t="s">
        <v>201</v>
      </c>
    </row>
    <row r="42" customFormat="false" ht="15" hidden="false" customHeight="true" outlineLevel="0" collapsed="false">
      <c r="A42" s="15" t="s">
        <v>202</v>
      </c>
      <c r="B42" s="16" t="n">
        <v>10000</v>
      </c>
      <c r="C42" s="16" t="n">
        <v>10000</v>
      </c>
      <c r="D42" s="16" t="n">
        <v>12000</v>
      </c>
      <c r="E42" s="16" t="n">
        <v>15000</v>
      </c>
      <c r="F42" s="16" t="n">
        <v>18000</v>
      </c>
      <c r="G42" s="16" t="n">
        <v>22000</v>
      </c>
      <c r="H42" s="15" t="s">
        <v>203</v>
      </c>
    </row>
    <row r="43" customFormat="false" ht="15" hidden="false" customHeight="true" outlineLevel="0" collapsed="false">
      <c r="A43" s="15" t="s">
        <v>204</v>
      </c>
      <c r="B43" s="16" t="n">
        <v>2000</v>
      </c>
      <c r="C43" s="16" t="n">
        <v>5000</v>
      </c>
      <c r="D43" s="16" t="n">
        <v>12000</v>
      </c>
      <c r="E43" s="16" t="n">
        <v>50000</v>
      </c>
      <c r="F43" s="16" t="n">
        <v>100000</v>
      </c>
      <c r="G43" s="16" t="n">
        <v>200000</v>
      </c>
      <c r="H43" s="15" t="s">
        <v>205</v>
      </c>
    </row>
    <row r="44" customFormat="false" ht="15" hidden="false" customHeight="true" outlineLevel="0" collapsed="false">
      <c r="A44" s="15" t="s">
        <v>206</v>
      </c>
      <c r="B44" s="15" t="n">
        <v>0</v>
      </c>
      <c r="C44" s="16" t="n">
        <v>5000</v>
      </c>
      <c r="D44" s="16" t="n">
        <v>10000</v>
      </c>
      <c r="E44" s="16" t="n">
        <v>25000</v>
      </c>
      <c r="F44" s="16" t="n">
        <v>30000</v>
      </c>
      <c r="G44" s="16" t="n">
        <v>40000</v>
      </c>
      <c r="H44" s="15" t="s">
        <v>207</v>
      </c>
    </row>
    <row r="45" customFormat="false" ht="15" hidden="false" customHeight="true" outlineLevel="0" collapsed="false">
      <c r="A45" s="15" t="s">
        <v>208</v>
      </c>
      <c r="B45" s="15" t="n">
        <v>0</v>
      </c>
      <c r="C45" s="15" t="n">
        <v>0</v>
      </c>
      <c r="D45" s="16" t="n">
        <v>1000</v>
      </c>
      <c r="E45" s="16" t="n">
        <v>2000</v>
      </c>
      <c r="F45" s="16" t="n">
        <v>3000</v>
      </c>
      <c r="G45" s="16" t="n">
        <v>5000</v>
      </c>
      <c r="H45" s="15" t="s">
        <v>209</v>
      </c>
    </row>
    <row r="46" customFormat="false" ht="15" hidden="false" customHeight="true" outlineLevel="0" collapsed="false">
      <c r="A46" s="19" t="s">
        <v>210</v>
      </c>
      <c r="B46" s="20" t="n">
        <f aca="false">SUM(B40:B45)</f>
        <v>27999</v>
      </c>
      <c r="C46" s="20" t="n">
        <f aca="false">SUM(C40:C45)</f>
        <v>35999</v>
      </c>
      <c r="D46" s="20" t="n">
        <f aca="false">SUM(D40:D45)</f>
        <v>56500</v>
      </c>
      <c r="E46" s="20" t="n">
        <f aca="false">SUM(E40:E45)</f>
        <v>124000</v>
      </c>
      <c r="F46" s="20" t="n">
        <f aca="false">SUM(F40:F45)</f>
        <v>194000</v>
      </c>
      <c r="G46" s="20" t="n">
        <f aca="false">SUM(G40:G45)</f>
        <v>322000</v>
      </c>
      <c r="H46" s="19"/>
    </row>
    <row r="47" customFormat="false" ht="15" hidden="false" customHeight="true" outlineLevel="0" collapsed="false">
      <c r="A47" s="14" t="s">
        <v>211</v>
      </c>
      <c r="B47" s="14"/>
      <c r="C47" s="14"/>
      <c r="D47" s="14"/>
      <c r="E47" s="14"/>
      <c r="F47" s="14"/>
      <c r="G47" s="14"/>
      <c r="H47" s="14"/>
    </row>
    <row r="48" customFormat="false" ht="30" hidden="false" customHeight="true" outlineLevel="0" collapsed="false">
      <c r="A48" s="21" t="s">
        <v>212</v>
      </c>
      <c r="B48" s="22" t="n">
        <f aca="false">B38-B46</f>
        <v>-24499</v>
      </c>
      <c r="C48" s="22" t="n">
        <f aca="false">C38-C46</f>
        <v>-22499</v>
      </c>
      <c r="D48" s="22" t="n">
        <f aca="false">D38-D46</f>
        <v>8500</v>
      </c>
      <c r="E48" s="22" t="n">
        <f aca="false">E38-E46</f>
        <v>182000</v>
      </c>
      <c r="F48" s="22" t="n">
        <f aca="false">F38-F46</f>
        <v>485000</v>
      </c>
      <c r="G48" s="22" t="n">
        <f aca="false">G38-G46</f>
        <v>1136000</v>
      </c>
      <c r="H48" s="21"/>
    </row>
    <row r="51" customFormat="false" ht="15" hidden="false" customHeight="true" outlineLevel="0" collapsed="false">
      <c r="A51" s="23" t="s">
        <v>213</v>
      </c>
      <c r="B51" s="23"/>
      <c r="C51" s="23"/>
      <c r="D51" s="23"/>
      <c r="E51" s="23"/>
      <c r="F51" s="23"/>
      <c r="G51" s="23"/>
      <c r="H51" s="23"/>
    </row>
    <row r="52" customFormat="false" ht="15" hidden="false" customHeight="true" outlineLevel="0" collapsed="false">
      <c r="A52" s="8" t="s">
        <v>214</v>
      </c>
      <c r="B52" s="24" t="s">
        <v>215</v>
      </c>
      <c r="C52" s="24"/>
      <c r="D52" s="24"/>
    </row>
    <row r="53" customFormat="false" ht="15" hidden="false" customHeight="true" outlineLevel="0" collapsed="false">
      <c r="A53" s="8" t="s">
        <v>216</v>
      </c>
      <c r="B53" s="24" t="s">
        <v>217</v>
      </c>
      <c r="C53" s="24"/>
      <c r="D53" s="24"/>
    </row>
    <row r="54" customFormat="false" ht="15" hidden="false" customHeight="true" outlineLevel="0" collapsed="false">
      <c r="A54" s="8" t="s">
        <v>218</v>
      </c>
      <c r="B54" s="24" t="s">
        <v>219</v>
      </c>
      <c r="C54" s="24"/>
      <c r="D54" s="24"/>
    </row>
    <row r="55" customFormat="false" ht="15" hidden="false" customHeight="true" outlineLevel="0" collapsed="false">
      <c r="A55" s="8" t="s">
        <v>220</v>
      </c>
      <c r="B55" s="24" t="s">
        <v>221</v>
      </c>
      <c r="C55" s="24"/>
      <c r="D55" s="24"/>
    </row>
    <row r="56" customFormat="false" ht="15" hidden="false" customHeight="true" outlineLevel="0" collapsed="false">
      <c r="A56" s="8" t="s">
        <v>222</v>
      </c>
      <c r="B56" s="24" t="s">
        <v>223</v>
      </c>
      <c r="C56" s="24"/>
      <c r="D56" s="24"/>
    </row>
  </sheetData>
  <mergeCells count="14">
    <mergeCell ref="A1:H1"/>
    <mergeCell ref="A4:H4"/>
    <mergeCell ref="A12:H12"/>
    <mergeCell ref="A18:H18"/>
    <mergeCell ref="A25:H25"/>
    <mergeCell ref="A31:H31"/>
    <mergeCell ref="A39:H39"/>
    <mergeCell ref="A47:H47"/>
    <mergeCell ref="A51:H51"/>
    <mergeCell ref="B52:D52"/>
    <mergeCell ref="B53:D53"/>
    <mergeCell ref="B54:D54"/>
    <mergeCell ref="B55:D55"/>
    <mergeCell ref="B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5" min="2" style="1" width="14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25" t="s">
        <v>224</v>
      </c>
      <c r="B1" s="25"/>
      <c r="C1" s="25"/>
      <c r="D1" s="25"/>
      <c r="E1" s="25"/>
      <c r="F1" s="25"/>
    </row>
    <row r="3" customFormat="false" ht="15" hidden="false" customHeight="true" outlineLevel="0" collapsed="false">
      <c r="A3" s="26" t="s">
        <v>225</v>
      </c>
      <c r="B3" s="26" t="s">
        <v>226</v>
      </c>
      <c r="C3" s="26" t="s">
        <v>227</v>
      </c>
      <c r="D3" s="26" t="s">
        <v>228</v>
      </c>
      <c r="E3" s="26" t="s">
        <v>229</v>
      </c>
      <c r="F3" s="26" t="s">
        <v>230</v>
      </c>
    </row>
    <row r="4" customFormat="false" ht="15" hidden="false" customHeight="true" outlineLevel="0" collapsed="false">
      <c r="A4" s="27" t="s">
        <v>231</v>
      </c>
      <c r="B4" s="27"/>
      <c r="C4" s="27"/>
      <c r="D4" s="27"/>
      <c r="E4" s="27"/>
      <c r="F4" s="27"/>
    </row>
    <row r="5" customFormat="false" ht="15" hidden="false" customHeight="true" outlineLevel="0" collapsed="false">
      <c r="A5" s="15" t="s">
        <v>232</v>
      </c>
      <c r="B5" s="28"/>
      <c r="C5" s="28"/>
      <c r="D5" s="28"/>
      <c r="E5" s="28"/>
      <c r="F5" s="29" t="n">
        <f aca="false">SUM(B5:E5)</f>
        <v>0</v>
      </c>
    </row>
    <row r="6" customFormat="false" ht="15" hidden="false" customHeight="true" outlineLevel="0" collapsed="false">
      <c r="A6" s="15" t="s">
        <v>233</v>
      </c>
      <c r="B6" s="28"/>
      <c r="C6" s="28"/>
      <c r="D6" s="28"/>
      <c r="E6" s="28"/>
      <c r="F6" s="29" t="n">
        <f aca="false">SUM(B6:E6)</f>
        <v>0</v>
      </c>
    </row>
    <row r="7" customFormat="false" ht="15" hidden="false" customHeight="true" outlineLevel="0" collapsed="false">
      <c r="A7" s="15" t="s">
        <v>234</v>
      </c>
      <c r="B7" s="28"/>
      <c r="C7" s="28"/>
      <c r="D7" s="28"/>
      <c r="E7" s="28"/>
      <c r="F7" s="29" t="n">
        <f aca="false">SUM(B7:E7)</f>
        <v>0</v>
      </c>
    </row>
    <row r="8" customFormat="false" ht="15" hidden="false" customHeight="true" outlineLevel="0" collapsed="false">
      <c r="A8" s="15" t="s">
        <v>235</v>
      </c>
      <c r="B8" s="28"/>
      <c r="C8" s="28"/>
      <c r="D8" s="28"/>
      <c r="E8" s="28"/>
      <c r="F8" s="29" t="n">
        <f aca="false">SUM(B8:E8)</f>
        <v>0</v>
      </c>
    </row>
    <row r="9" customFormat="false" ht="15" hidden="false" customHeight="true" outlineLevel="0" collapsed="false">
      <c r="A9" s="15" t="s">
        <v>236</v>
      </c>
      <c r="B9" s="28"/>
      <c r="C9" s="28"/>
      <c r="D9" s="28"/>
      <c r="E9" s="28"/>
      <c r="F9" s="29" t="n">
        <f aca="false">SUM(B9:E9)</f>
        <v>0</v>
      </c>
    </row>
    <row r="10" customFormat="false" ht="15" hidden="false" customHeight="true" outlineLevel="0" collapsed="false">
      <c r="A10" s="15" t="s">
        <v>237</v>
      </c>
      <c r="B10" s="28"/>
      <c r="C10" s="28"/>
      <c r="D10" s="28"/>
      <c r="E10" s="28"/>
      <c r="F10" s="29" t="n">
        <f aca="false">SUM(B10:E10)</f>
        <v>0</v>
      </c>
    </row>
    <row r="11" customFormat="false" ht="15" hidden="false" customHeight="true" outlineLevel="0" collapsed="false">
      <c r="A11" s="15" t="s">
        <v>238</v>
      </c>
      <c r="B11" s="28"/>
      <c r="C11" s="28"/>
      <c r="D11" s="28"/>
      <c r="E11" s="28"/>
      <c r="F11" s="29" t="n">
        <f aca="false">SUM(B11:E11)</f>
        <v>0</v>
      </c>
    </row>
    <row r="12" customFormat="false" ht="15" hidden="false" customHeight="true" outlineLevel="0" collapsed="false">
      <c r="A12" s="15" t="s">
        <v>239</v>
      </c>
      <c r="B12" s="28"/>
      <c r="C12" s="28"/>
      <c r="D12" s="28"/>
      <c r="E12" s="28"/>
      <c r="F12" s="29" t="n">
        <f aca="false">SUM(B12:E12)</f>
        <v>0</v>
      </c>
    </row>
    <row r="13" customFormat="false" ht="15" hidden="false" customHeight="true" outlineLevel="0" collapsed="false">
      <c r="A13" s="15" t="s">
        <v>240</v>
      </c>
      <c r="B13" s="28"/>
      <c r="C13" s="28"/>
      <c r="D13" s="28"/>
      <c r="E13" s="28"/>
      <c r="F13" s="29" t="n">
        <f aca="false">SUM(B13:E13)</f>
        <v>0</v>
      </c>
    </row>
    <row r="14" customFormat="false" ht="15" hidden="false" customHeight="true" outlineLevel="0" collapsed="false">
      <c r="A14" s="15" t="s">
        <v>198</v>
      </c>
      <c r="B14" s="28"/>
      <c r="C14" s="28"/>
      <c r="D14" s="28"/>
      <c r="E14" s="28"/>
      <c r="F14" s="29" t="n">
        <f aca="false">SUM(B14:E14)</f>
        <v>0</v>
      </c>
    </row>
    <row r="15" customFormat="false" ht="15" hidden="false" customHeight="true" outlineLevel="0" collapsed="false">
      <c r="A15" s="15" t="s">
        <v>241</v>
      </c>
      <c r="B15" s="28"/>
      <c r="C15" s="28"/>
      <c r="D15" s="28"/>
      <c r="E15" s="28"/>
      <c r="F15" s="29" t="n">
        <f aca="false">SUM(B15:E15)</f>
        <v>0</v>
      </c>
    </row>
    <row r="16" customFormat="false" ht="15" hidden="false" customHeight="true" outlineLevel="0" collapsed="false">
      <c r="A16" s="27" t="s">
        <v>242</v>
      </c>
      <c r="B16" s="27"/>
      <c r="C16" s="27"/>
      <c r="D16" s="27"/>
      <c r="E16" s="27"/>
      <c r="F16" s="27"/>
    </row>
    <row r="17" customFormat="false" ht="15" hidden="false" customHeight="true" outlineLevel="0" collapsed="false">
      <c r="A17" s="15" t="s">
        <v>147</v>
      </c>
      <c r="B17" s="28"/>
      <c r="C17" s="28"/>
      <c r="D17" s="28"/>
      <c r="E17" s="28"/>
      <c r="F17" s="29" t="n">
        <f aca="false">SUM(B17:E17)</f>
        <v>0</v>
      </c>
    </row>
    <row r="18" customFormat="false" ht="15" hidden="false" customHeight="true" outlineLevel="0" collapsed="false">
      <c r="A18" s="15" t="s">
        <v>243</v>
      </c>
      <c r="B18" s="28"/>
      <c r="C18" s="28"/>
      <c r="D18" s="28"/>
      <c r="E18" s="28"/>
      <c r="F18" s="29" t="n">
        <f aca="false">SUM(B18:E18)</f>
        <v>0</v>
      </c>
    </row>
    <row r="19" customFormat="false" ht="15" hidden="false" customHeight="true" outlineLevel="0" collapsed="false">
      <c r="A19" s="15" t="s">
        <v>244</v>
      </c>
      <c r="B19" s="28"/>
      <c r="C19" s="28"/>
      <c r="D19" s="28"/>
      <c r="E19" s="28"/>
      <c r="F19" s="29" t="n">
        <f aca="false">SUM(B19:E19)</f>
        <v>0</v>
      </c>
    </row>
    <row r="20" customFormat="false" ht="15" hidden="false" customHeight="true" outlineLevel="0" collapsed="false">
      <c r="A20" s="15" t="s">
        <v>245</v>
      </c>
      <c r="B20" s="28"/>
      <c r="C20" s="28"/>
      <c r="D20" s="28"/>
      <c r="E20" s="28"/>
      <c r="F20" s="29" t="str">
        <f aca="false">IFERROR(AVERAGE(B20:E20),"")</f>
        <v/>
      </c>
    </row>
    <row r="21" customFormat="false" ht="15" hidden="false" customHeight="true" outlineLevel="0" collapsed="false">
      <c r="A21" s="15" t="s">
        <v>246</v>
      </c>
      <c r="B21" s="28"/>
      <c r="C21" s="28"/>
      <c r="D21" s="28"/>
      <c r="E21" s="28"/>
      <c r="F21" s="29" t="n">
        <f aca="false">SUM(B21:E21)</f>
        <v>0</v>
      </c>
    </row>
    <row r="22" customFormat="false" ht="15" hidden="false" customHeight="true" outlineLevel="0" collapsed="false">
      <c r="A22" s="15" t="s">
        <v>247</v>
      </c>
      <c r="B22" s="28"/>
      <c r="C22" s="28"/>
      <c r="D22" s="28"/>
      <c r="E22" s="28"/>
      <c r="F22" s="29" t="n">
        <f aca="false">SUM(B22:E22)</f>
        <v>0</v>
      </c>
    </row>
    <row r="23" customFormat="false" ht="15" hidden="false" customHeight="true" outlineLevel="0" collapsed="false">
      <c r="A23" s="27" t="s">
        <v>248</v>
      </c>
      <c r="B23" s="27"/>
      <c r="C23" s="27"/>
      <c r="D23" s="27"/>
      <c r="E23" s="27"/>
      <c r="F23" s="27"/>
    </row>
    <row r="24" customFormat="false" ht="15" hidden="false" customHeight="true" outlineLevel="0" collapsed="false">
      <c r="A24" s="15" t="s">
        <v>185</v>
      </c>
      <c r="B24" s="28"/>
      <c r="C24" s="28"/>
      <c r="D24" s="28"/>
      <c r="E24" s="28"/>
      <c r="F24" s="29" t="n">
        <f aca="false">SUM(B24:E24)</f>
        <v>0</v>
      </c>
    </row>
    <row r="25" customFormat="false" ht="15" hidden="false" customHeight="true" outlineLevel="0" collapsed="false">
      <c r="A25" s="15" t="s">
        <v>249</v>
      </c>
      <c r="B25" s="28"/>
      <c r="C25" s="28"/>
      <c r="D25" s="28"/>
      <c r="E25" s="28"/>
      <c r="F25" s="29" t="n">
        <f aca="false">SUM(B25:E25)</f>
        <v>0</v>
      </c>
    </row>
    <row r="26" customFormat="false" ht="15" hidden="false" customHeight="true" outlineLevel="0" collapsed="false">
      <c r="A26" s="15" t="s">
        <v>250</v>
      </c>
      <c r="B26" s="28"/>
      <c r="C26" s="28"/>
      <c r="D26" s="28"/>
      <c r="E26" s="28"/>
      <c r="F26" s="29" t="n">
        <f aca="false">SUM(B26:E26)</f>
        <v>0</v>
      </c>
    </row>
    <row r="27" customFormat="false" ht="15" hidden="false" customHeight="true" outlineLevel="0" collapsed="false">
      <c r="A27" s="15" t="s">
        <v>251</v>
      </c>
      <c r="B27" s="28"/>
      <c r="C27" s="28"/>
      <c r="D27" s="28"/>
      <c r="E27" s="28"/>
      <c r="F27" s="29" t="n">
        <f aca="false">SUM(B27:E27)</f>
        <v>0</v>
      </c>
    </row>
    <row r="28" customFormat="false" ht="15" hidden="false" customHeight="true" outlineLevel="0" collapsed="false">
      <c r="A28" s="17" t="s">
        <v>252</v>
      </c>
      <c r="B28" s="17"/>
      <c r="C28" s="17"/>
      <c r="D28" s="17"/>
      <c r="E28" s="17"/>
      <c r="F28" s="17" t="n">
        <f aca="false">SUM(B28:E28)</f>
        <v>0</v>
      </c>
    </row>
    <row r="29" customFormat="false" ht="15" hidden="false" customHeight="true" outlineLevel="0" collapsed="false">
      <c r="A29" s="27" t="s">
        <v>253</v>
      </c>
      <c r="B29" s="27"/>
      <c r="C29" s="27"/>
      <c r="D29" s="27"/>
      <c r="E29" s="27"/>
      <c r="F29" s="27"/>
    </row>
    <row r="30" customFormat="false" ht="15" hidden="false" customHeight="true" outlineLevel="0" collapsed="false">
      <c r="A30" s="15" t="s">
        <v>254</v>
      </c>
      <c r="B30" s="28"/>
      <c r="C30" s="28"/>
      <c r="D30" s="28"/>
      <c r="E30" s="28"/>
      <c r="F30" s="29" t="n">
        <f aca="false">SUM(B30:E30)</f>
        <v>0</v>
      </c>
    </row>
    <row r="31" customFormat="false" ht="15" hidden="false" customHeight="true" outlineLevel="0" collapsed="false">
      <c r="A31" s="15" t="s">
        <v>255</v>
      </c>
      <c r="B31" s="28"/>
      <c r="C31" s="28"/>
      <c r="D31" s="28"/>
      <c r="E31" s="28"/>
      <c r="F31" s="29" t="n">
        <f aca="false">SUM(B31:E31)</f>
        <v>0</v>
      </c>
    </row>
    <row r="32" customFormat="false" ht="15" hidden="false" customHeight="true" outlineLevel="0" collapsed="false">
      <c r="A32" s="15" t="s">
        <v>166</v>
      </c>
      <c r="B32" s="28"/>
      <c r="C32" s="28"/>
      <c r="D32" s="28"/>
      <c r="E32" s="28"/>
      <c r="F32" s="29" t="n">
        <f aca="false">SUM(B32:E32)</f>
        <v>0</v>
      </c>
    </row>
    <row r="33" customFormat="false" ht="15" hidden="false" customHeight="true" outlineLevel="0" collapsed="false">
      <c r="A33" s="15" t="s">
        <v>256</v>
      </c>
      <c r="B33" s="28"/>
      <c r="C33" s="28"/>
      <c r="D33" s="28"/>
      <c r="E33" s="28"/>
      <c r="F33" s="29" t="n">
        <f aca="false">SUM(B33:E33)</f>
        <v>0</v>
      </c>
    </row>
    <row r="34" customFormat="false" ht="15" hidden="false" customHeight="true" outlineLevel="0" collapsed="false">
      <c r="A34" s="15" t="s">
        <v>168</v>
      </c>
      <c r="B34" s="28"/>
      <c r="C34" s="28"/>
      <c r="D34" s="28"/>
      <c r="E34" s="28"/>
      <c r="F34" s="29" t="n">
        <f aca="false">SUM(B34:E34)</f>
        <v>0</v>
      </c>
    </row>
    <row r="35" customFormat="false" ht="15" hidden="false" customHeight="true" outlineLevel="0" collapsed="false">
      <c r="A35" s="27" t="s">
        <v>257</v>
      </c>
      <c r="B35" s="27"/>
      <c r="C35" s="27"/>
      <c r="D35" s="27"/>
      <c r="E35" s="27"/>
      <c r="F35" s="27"/>
    </row>
    <row r="36" customFormat="false" ht="15" hidden="false" customHeight="true" outlineLevel="0" collapsed="false">
      <c r="A36" s="15" t="s">
        <v>142</v>
      </c>
      <c r="B36" s="28"/>
      <c r="C36" s="28"/>
      <c r="D36" s="28"/>
      <c r="E36" s="28"/>
      <c r="F36" s="29" t="n">
        <f aca="false">SUM(B36:E36)</f>
        <v>0</v>
      </c>
    </row>
    <row r="37" customFormat="false" ht="15" hidden="false" customHeight="true" outlineLevel="0" collapsed="false">
      <c r="A37" s="15" t="s">
        <v>258</v>
      </c>
      <c r="B37" s="28"/>
      <c r="C37" s="28"/>
      <c r="D37" s="28"/>
      <c r="E37" s="28"/>
      <c r="F37" s="29" t="str">
        <f aca="false">IFERROR(AVERAGE(B37:E37),"")</f>
        <v/>
      </c>
    </row>
    <row r="38" customFormat="false" ht="15" hidden="false" customHeight="true" outlineLevel="0" collapsed="false">
      <c r="A38" s="15" t="s">
        <v>259</v>
      </c>
      <c r="B38" s="28"/>
      <c r="C38" s="28"/>
      <c r="D38" s="28"/>
      <c r="E38" s="28"/>
      <c r="F38" s="29" t="str">
        <f aca="false">IFERROR(AVERAGE(B38:E38),"")</f>
        <v/>
      </c>
    </row>
    <row r="39" customFormat="false" ht="15" hidden="false" customHeight="true" outlineLevel="0" collapsed="false">
      <c r="A39" s="15" t="s">
        <v>260</v>
      </c>
      <c r="B39" s="28"/>
      <c r="C39" s="28"/>
      <c r="D39" s="28"/>
      <c r="E39" s="28"/>
      <c r="F39" s="29" t="n">
        <f aca="false">SUM(B39:E39)</f>
        <v>0</v>
      </c>
    </row>
    <row r="40" customFormat="false" ht="15" hidden="false" customHeight="true" outlineLevel="0" collapsed="false">
      <c r="A40" s="15" t="s">
        <v>261</v>
      </c>
      <c r="B40" s="28"/>
      <c r="C40" s="28"/>
      <c r="D40" s="28"/>
      <c r="E40" s="28"/>
      <c r="F40" s="29" t="n">
        <f aca="false">SUM(B40:E40)</f>
        <v>0</v>
      </c>
    </row>
  </sheetData>
  <mergeCells count="6">
    <mergeCell ref="A1:F1"/>
    <mergeCell ref="A4:F4"/>
    <mergeCell ref="A16:F16"/>
    <mergeCell ref="A23:F23"/>
    <mergeCell ref="A29:F29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FA2"/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45"/>
    <col collapsed="false" customWidth="true" hidden="false" outlineLevel="0" max="6" min="6" style="1" width="30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0" t="s">
        <v>262</v>
      </c>
      <c r="B1" s="30"/>
      <c r="C1" s="30"/>
      <c r="D1" s="30"/>
      <c r="E1" s="30"/>
      <c r="F1" s="30"/>
      <c r="G1" s="30"/>
    </row>
    <row r="3" customFormat="false" ht="15" hidden="false" customHeight="true" outlineLevel="0" collapsed="false">
      <c r="A3" s="31" t="s">
        <v>263</v>
      </c>
      <c r="B3" s="31" t="s">
        <v>1</v>
      </c>
      <c r="C3" s="31" t="s">
        <v>264</v>
      </c>
      <c r="D3" s="31" t="s">
        <v>265</v>
      </c>
      <c r="E3" s="31" t="s">
        <v>266</v>
      </c>
      <c r="F3" s="31" t="s">
        <v>267</v>
      </c>
      <c r="G3" s="31" t="s">
        <v>268</v>
      </c>
    </row>
    <row r="4" customFormat="false" ht="34.5" hidden="false" customHeight="true" outlineLevel="0" collapsed="false">
      <c r="A4" s="32" t="s">
        <v>226</v>
      </c>
      <c r="B4" s="15" t="s">
        <v>269</v>
      </c>
      <c r="C4" s="15" t="s">
        <v>270</v>
      </c>
      <c r="D4" s="15" t="s">
        <v>271</v>
      </c>
      <c r="E4" s="15" t="s">
        <v>272</v>
      </c>
      <c r="F4" s="15" t="s">
        <v>273</v>
      </c>
      <c r="G4" s="15" t="s">
        <v>12</v>
      </c>
    </row>
    <row r="5" customFormat="false" ht="34.5" hidden="false" customHeight="true" outlineLevel="0" collapsed="false">
      <c r="A5" s="15"/>
      <c r="B5" s="15" t="s">
        <v>269</v>
      </c>
      <c r="C5" s="15" t="s">
        <v>274</v>
      </c>
      <c r="D5" s="15" t="s">
        <v>275</v>
      </c>
      <c r="E5" s="15" t="s">
        <v>276</v>
      </c>
      <c r="F5" s="15" t="s">
        <v>277</v>
      </c>
      <c r="G5" s="15" t="s">
        <v>12</v>
      </c>
    </row>
    <row r="6" customFormat="false" ht="34.5" hidden="false" customHeight="true" outlineLevel="0" collapsed="false">
      <c r="A6" s="15"/>
      <c r="B6" s="15" t="s">
        <v>278</v>
      </c>
      <c r="C6" s="15" t="s">
        <v>270</v>
      </c>
      <c r="D6" s="15" t="s">
        <v>279</v>
      </c>
      <c r="E6" s="15" t="s">
        <v>280</v>
      </c>
      <c r="F6" s="15" t="s">
        <v>281</v>
      </c>
      <c r="G6" s="15" t="s">
        <v>12</v>
      </c>
    </row>
    <row r="7" customFormat="false" ht="34.5" hidden="false" customHeight="true" outlineLevel="0" collapsed="false">
      <c r="A7" s="15"/>
      <c r="B7" s="15" t="s">
        <v>278</v>
      </c>
      <c r="C7" s="15" t="s">
        <v>282</v>
      </c>
      <c r="D7" s="15" t="s">
        <v>283</v>
      </c>
      <c r="E7" s="15" t="s">
        <v>284</v>
      </c>
      <c r="F7" s="15" t="s">
        <v>285</v>
      </c>
      <c r="G7" s="15" t="s">
        <v>12</v>
      </c>
    </row>
    <row r="8" customFormat="false" ht="34.5" hidden="false" customHeight="true" outlineLevel="0" collapsed="false">
      <c r="A8" s="15"/>
      <c r="B8" s="15" t="s">
        <v>286</v>
      </c>
      <c r="C8" s="15" t="s">
        <v>270</v>
      </c>
      <c r="D8" s="15" t="s">
        <v>271</v>
      </c>
      <c r="E8" s="15" t="s">
        <v>287</v>
      </c>
      <c r="F8" s="15" t="s">
        <v>288</v>
      </c>
      <c r="G8" s="15" t="s">
        <v>12</v>
      </c>
    </row>
    <row r="9" customFormat="false" ht="34.5" hidden="false" customHeight="true" outlineLevel="0" collapsed="false">
      <c r="A9" s="15"/>
      <c r="B9" s="15" t="s">
        <v>286</v>
      </c>
      <c r="C9" s="15" t="s">
        <v>289</v>
      </c>
      <c r="D9" s="15" t="s">
        <v>290</v>
      </c>
      <c r="E9" s="15" t="s">
        <v>291</v>
      </c>
      <c r="F9" s="15" t="s">
        <v>292</v>
      </c>
      <c r="G9" s="15" t="s">
        <v>12</v>
      </c>
    </row>
    <row r="10" customFormat="false" ht="34.5" hidden="false" customHeight="true" outlineLevel="0" collapsed="false">
      <c r="A10" s="15"/>
      <c r="B10" s="15" t="s">
        <v>293</v>
      </c>
      <c r="C10" s="15" t="s">
        <v>270</v>
      </c>
      <c r="D10" s="15" t="s">
        <v>279</v>
      </c>
      <c r="E10" s="15" t="s">
        <v>294</v>
      </c>
      <c r="F10" s="15" t="s">
        <v>295</v>
      </c>
      <c r="G10" s="15" t="s">
        <v>12</v>
      </c>
    </row>
    <row r="11" customFormat="false" ht="34.5" hidden="false" customHeight="true" outlineLevel="0" collapsed="false">
      <c r="A11" s="15"/>
      <c r="B11" s="15" t="s">
        <v>293</v>
      </c>
      <c r="C11" s="15" t="s">
        <v>282</v>
      </c>
      <c r="D11" s="15" t="s">
        <v>296</v>
      </c>
      <c r="E11" s="15" t="s">
        <v>297</v>
      </c>
      <c r="F11" s="15" t="s">
        <v>298</v>
      </c>
      <c r="G11" s="15" t="s">
        <v>12</v>
      </c>
    </row>
    <row r="12" customFormat="false" ht="34.5" hidden="false" customHeight="true" outlineLevel="0" collapsed="false">
      <c r="A12" s="15"/>
      <c r="B12" s="15" t="s">
        <v>299</v>
      </c>
      <c r="C12" s="15" t="s">
        <v>270</v>
      </c>
      <c r="D12" s="15" t="s">
        <v>271</v>
      </c>
      <c r="E12" s="15" t="s">
        <v>300</v>
      </c>
      <c r="F12" s="15" t="s">
        <v>301</v>
      </c>
      <c r="G12" s="15" t="s">
        <v>12</v>
      </c>
    </row>
    <row r="13" customFormat="false" ht="34.5" hidden="false" customHeight="true" outlineLevel="0" collapsed="false">
      <c r="A13" s="15"/>
      <c r="B13" s="15" t="s">
        <v>299</v>
      </c>
      <c r="C13" s="15" t="s">
        <v>274</v>
      </c>
      <c r="D13" s="15" t="s">
        <v>302</v>
      </c>
      <c r="E13" s="15" t="s">
        <v>303</v>
      </c>
      <c r="F13" s="15" t="s">
        <v>304</v>
      </c>
      <c r="G13" s="15" t="s">
        <v>12</v>
      </c>
    </row>
    <row r="14" customFormat="false" ht="34.5" hidden="false" customHeight="true" outlineLevel="0" collapsed="false">
      <c r="A14" s="15"/>
      <c r="B14" s="15" t="s">
        <v>305</v>
      </c>
      <c r="C14" s="15" t="s">
        <v>270</v>
      </c>
      <c r="D14" s="15" t="s">
        <v>271</v>
      </c>
      <c r="E14" s="15" t="s">
        <v>306</v>
      </c>
      <c r="F14" s="15" t="s">
        <v>307</v>
      </c>
      <c r="G14" s="15" t="s">
        <v>12</v>
      </c>
    </row>
    <row r="15" customFormat="false" ht="34.5" hidden="false" customHeight="true" outlineLevel="0" collapsed="false">
      <c r="A15" s="15"/>
      <c r="B15" s="15" t="s">
        <v>305</v>
      </c>
      <c r="C15" s="15" t="s">
        <v>289</v>
      </c>
      <c r="D15" s="15" t="s">
        <v>308</v>
      </c>
      <c r="E15" s="15" t="s">
        <v>309</v>
      </c>
      <c r="F15" s="15" t="s">
        <v>310</v>
      </c>
      <c r="G15" s="15" t="s">
        <v>12</v>
      </c>
    </row>
    <row r="16" customFormat="false" ht="34.5" hidden="false" customHeight="true" outlineLevel="0" collapsed="false">
      <c r="A16" s="32" t="s">
        <v>227</v>
      </c>
      <c r="B16" s="15" t="s">
        <v>269</v>
      </c>
      <c r="C16" s="15" t="s">
        <v>270</v>
      </c>
      <c r="D16" s="15" t="s">
        <v>271</v>
      </c>
      <c r="E16" s="15" t="s">
        <v>311</v>
      </c>
      <c r="F16" s="15" t="s">
        <v>312</v>
      </c>
      <c r="G16" s="15" t="s">
        <v>12</v>
      </c>
    </row>
    <row r="17" customFormat="false" ht="34.5" hidden="false" customHeight="true" outlineLevel="0" collapsed="false">
      <c r="A17" s="15"/>
      <c r="B17" s="15" t="s">
        <v>269</v>
      </c>
      <c r="C17" s="15" t="s">
        <v>274</v>
      </c>
      <c r="D17" s="15" t="s">
        <v>275</v>
      </c>
      <c r="E17" s="15" t="s">
        <v>313</v>
      </c>
      <c r="F17" s="15" t="s">
        <v>314</v>
      </c>
      <c r="G17" s="15" t="s">
        <v>12</v>
      </c>
    </row>
    <row r="18" customFormat="false" ht="34.5" hidden="false" customHeight="true" outlineLevel="0" collapsed="false">
      <c r="A18" s="15"/>
      <c r="B18" s="15" t="s">
        <v>278</v>
      </c>
      <c r="C18" s="15" t="s">
        <v>270</v>
      </c>
      <c r="D18" s="15" t="s">
        <v>279</v>
      </c>
      <c r="E18" s="15" t="s">
        <v>315</v>
      </c>
      <c r="F18" s="15" t="s">
        <v>316</v>
      </c>
      <c r="G18" s="15" t="s">
        <v>12</v>
      </c>
    </row>
    <row r="19" customFormat="false" ht="34.5" hidden="false" customHeight="true" outlineLevel="0" collapsed="false">
      <c r="A19" s="15"/>
      <c r="B19" s="15" t="s">
        <v>286</v>
      </c>
      <c r="C19" s="15" t="s">
        <v>270</v>
      </c>
      <c r="D19" s="15" t="s">
        <v>271</v>
      </c>
      <c r="E19" s="15" t="s">
        <v>317</v>
      </c>
      <c r="F19" s="15" t="s">
        <v>318</v>
      </c>
      <c r="G19" s="15" t="s">
        <v>12</v>
      </c>
    </row>
    <row r="20" customFormat="false" ht="34.5" hidden="false" customHeight="true" outlineLevel="0" collapsed="false">
      <c r="A20" s="15"/>
      <c r="B20" s="15" t="s">
        <v>286</v>
      </c>
      <c r="C20" s="15" t="s">
        <v>289</v>
      </c>
      <c r="D20" s="15" t="s">
        <v>319</v>
      </c>
      <c r="E20" s="15" t="s">
        <v>320</v>
      </c>
      <c r="F20" s="15" t="s">
        <v>321</v>
      </c>
      <c r="G20" s="15" t="s">
        <v>12</v>
      </c>
    </row>
    <row r="21" customFormat="false" ht="34.5" hidden="false" customHeight="true" outlineLevel="0" collapsed="false">
      <c r="A21" s="15"/>
      <c r="B21" s="15" t="s">
        <v>293</v>
      </c>
      <c r="C21" s="15" t="s">
        <v>270</v>
      </c>
      <c r="D21" s="15" t="s">
        <v>279</v>
      </c>
      <c r="E21" s="15" t="s">
        <v>322</v>
      </c>
      <c r="F21" s="15" t="s">
        <v>323</v>
      </c>
      <c r="G21" s="15" t="s">
        <v>12</v>
      </c>
    </row>
    <row r="22" customFormat="false" ht="34.5" hidden="false" customHeight="true" outlineLevel="0" collapsed="false">
      <c r="A22" s="15"/>
      <c r="B22" s="15" t="s">
        <v>299</v>
      </c>
      <c r="C22" s="15" t="s">
        <v>270</v>
      </c>
      <c r="D22" s="15" t="s">
        <v>271</v>
      </c>
      <c r="E22" s="15" t="s">
        <v>324</v>
      </c>
      <c r="F22" s="15" t="s">
        <v>325</v>
      </c>
      <c r="G22" s="15" t="s">
        <v>12</v>
      </c>
    </row>
    <row r="23" customFormat="false" ht="34.5" hidden="false" customHeight="true" outlineLevel="0" collapsed="false">
      <c r="A23" s="15"/>
      <c r="B23" s="15" t="s">
        <v>299</v>
      </c>
      <c r="C23" s="15" t="s">
        <v>274</v>
      </c>
      <c r="D23" s="15" t="s">
        <v>302</v>
      </c>
      <c r="E23" s="15" t="s">
        <v>326</v>
      </c>
      <c r="F23" s="15" t="s">
        <v>327</v>
      </c>
      <c r="G23" s="15" t="s">
        <v>12</v>
      </c>
    </row>
    <row r="24" customFormat="false" ht="34.5" hidden="false" customHeight="true" outlineLevel="0" collapsed="false">
      <c r="A24" s="32" t="s">
        <v>228</v>
      </c>
      <c r="B24" s="15" t="s">
        <v>269</v>
      </c>
      <c r="C24" s="15" t="s">
        <v>270</v>
      </c>
      <c r="D24" s="15" t="s">
        <v>271</v>
      </c>
      <c r="E24" s="15" t="s">
        <v>328</v>
      </c>
      <c r="F24" s="15" t="s">
        <v>329</v>
      </c>
      <c r="G24" s="15" t="s">
        <v>12</v>
      </c>
    </row>
    <row r="25" customFormat="false" ht="34.5" hidden="false" customHeight="true" outlineLevel="0" collapsed="false">
      <c r="A25" s="15"/>
      <c r="B25" s="15" t="s">
        <v>269</v>
      </c>
      <c r="C25" s="15" t="s">
        <v>274</v>
      </c>
      <c r="D25" s="15" t="s">
        <v>275</v>
      </c>
      <c r="E25" s="15" t="s">
        <v>330</v>
      </c>
      <c r="F25" s="15" t="s">
        <v>331</v>
      </c>
      <c r="G25" s="15" t="s">
        <v>12</v>
      </c>
    </row>
    <row r="26" customFormat="false" ht="34.5" hidden="false" customHeight="true" outlineLevel="0" collapsed="false">
      <c r="A26" s="15"/>
      <c r="B26" s="15" t="s">
        <v>278</v>
      </c>
      <c r="C26" s="15" t="s">
        <v>270</v>
      </c>
      <c r="D26" s="15" t="s">
        <v>279</v>
      </c>
      <c r="E26" s="15" t="s">
        <v>332</v>
      </c>
      <c r="F26" s="15" t="s">
        <v>333</v>
      </c>
      <c r="G26" s="15" t="s">
        <v>12</v>
      </c>
    </row>
    <row r="27" customFormat="false" ht="34.5" hidden="false" customHeight="true" outlineLevel="0" collapsed="false">
      <c r="A27" s="15"/>
      <c r="B27" s="15" t="s">
        <v>286</v>
      </c>
      <c r="C27" s="15" t="s">
        <v>289</v>
      </c>
      <c r="D27" s="15" t="s">
        <v>290</v>
      </c>
      <c r="E27" s="15" t="s">
        <v>334</v>
      </c>
      <c r="F27" s="15" t="s">
        <v>335</v>
      </c>
      <c r="G27" s="15" t="s">
        <v>12</v>
      </c>
    </row>
    <row r="28" customFormat="false" ht="34.5" hidden="false" customHeight="true" outlineLevel="0" collapsed="false">
      <c r="A28" s="15"/>
      <c r="B28" s="15" t="s">
        <v>293</v>
      </c>
      <c r="C28" s="15" t="s">
        <v>270</v>
      </c>
      <c r="D28" s="15" t="s">
        <v>279</v>
      </c>
      <c r="E28" s="15" t="s">
        <v>336</v>
      </c>
      <c r="F28" s="15" t="s">
        <v>323</v>
      </c>
      <c r="G28" s="15" t="s">
        <v>12</v>
      </c>
    </row>
    <row r="29" customFormat="false" ht="34.5" hidden="false" customHeight="true" outlineLevel="0" collapsed="false">
      <c r="A29" s="15"/>
      <c r="B29" s="15" t="s">
        <v>299</v>
      </c>
      <c r="C29" s="15" t="s">
        <v>274</v>
      </c>
      <c r="D29" s="15" t="s">
        <v>302</v>
      </c>
      <c r="E29" s="15" t="s">
        <v>337</v>
      </c>
      <c r="F29" s="15" t="s">
        <v>338</v>
      </c>
      <c r="G29" s="15" t="s">
        <v>12</v>
      </c>
    </row>
    <row r="30" customFormat="false" ht="34.5" hidden="false" customHeight="true" outlineLevel="0" collapsed="false">
      <c r="A30" s="32" t="s">
        <v>229</v>
      </c>
      <c r="B30" s="15" t="s">
        <v>269</v>
      </c>
      <c r="C30" s="15" t="s">
        <v>270</v>
      </c>
      <c r="D30" s="15" t="s">
        <v>271</v>
      </c>
      <c r="E30" s="15" t="s">
        <v>339</v>
      </c>
      <c r="F30" s="15" t="s">
        <v>340</v>
      </c>
      <c r="G30" s="15" t="s">
        <v>12</v>
      </c>
    </row>
    <row r="31" customFormat="false" ht="34.5" hidden="false" customHeight="true" outlineLevel="0" collapsed="false">
      <c r="A31" s="15"/>
      <c r="B31" s="15" t="s">
        <v>269</v>
      </c>
      <c r="C31" s="15" t="s">
        <v>274</v>
      </c>
      <c r="D31" s="15" t="s">
        <v>275</v>
      </c>
      <c r="E31" s="15" t="s">
        <v>341</v>
      </c>
      <c r="F31" s="15" t="s">
        <v>327</v>
      </c>
      <c r="G31" s="15" t="s">
        <v>12</v>
      </c>
    </row>
    <row r="32" customFormat="false" ht="34.5" hidden="false" customHeight="true" outlineLevel="0" collapsed="false">
      <c r="A32" s="15"/>
      <c r="B32" s="15" t="s">
        <v>278</v>
      </c>
      <c r="C32" s="15" t="s">
        <v>270</v>
      </c>
      <c r="D32" s="15" t="s">
        <v>279</v>
      </c>
      <c r="E32" s="15" t="s">
        <v>342</v>
      </c>
      <c r="F32" s="15" t="s">
        <v>343</v>
      </c>
      <c r="G32" s="15" t="s">
        <v>12</v>
      </c>
    </row>
    <row r="33" customFormat="false" ht="34.5" hidden="false" customHeight="true" outlineLevel="0" collapsed="false">
      <c r="A33" s="15"/>
      <c r="B33" s="15" t="s">
        <v>286</v>
      </c>
      <c r="C33" s="15" t="s">
        <v>289</v>
      </c>
      <c r="D33" s="15" t="s">
        <v>319</v>
      </c>
      <c r="E33" s="15" t="s">
        <v>344</v>
      </c>
      <c r="F33" s="15" t="s">
        <v>331</v>
      </c>
      <c r="G33" s="15" t="s">
        <v>12</v>
      </c>
    </row>
    <row r="34" customFormat="false" ht="34.5" hidden="false" customHeight="true" outlineLevel="0" collapsed="false">
      <c r="A34" s="15"/>
      <c r="B34" s="15" t="s">
        <v>293</v>
      </c>
      <c r="C34" s="15" t="s">
        <v>270</v>
      </c>
      <c r="D34" s="15" t="s">
        <v>279</v>
      </c>
      <c r="E34" s="15" t="s">
        <v>345</v>
      </c>
      <c r="F34" s="15" t="s">
        <v>346</v>
      </c>
      <c r="G34" s="15" t="s">
        <v>12</v>
      </c>
    </row>
    <row r="35" customFormat="false" ht="34.5" hidden="false" customHeight="true" outlineLevel="0" collapsed="false">
      <c r="A35" s="15"/>
      <c r="B35" s="15" t="s">
        <v>299</v>
      </c>
      <c r="C35" s="15" t="s">
        <v>274</v>
      </c>
      <c r="D35" s="15" t="s">
        <v>302</v>
      </c>
      <c r="E35" s="15" t="s">
        <v>347</v>
      </c>
      <c r="F35" s="15" t="s">
        <v>348</v>
      </c>
      <c r="G35" s="15" t="s">
        <v>12</v>
      </c>
    </row>
    <row r="36" customFormat="false" ht="34.5" hidden="false" customHeight="true" outlineLevel="0" collapsed="false">
      <c r="A36" s="15"/>
      <c r="B36" s="15" t="s">
        <v>305</v>
      </c>
      <c r="C36" s="15" t="s">
        <v>270</v>
      </c>
      <c r="D36" s="15" t="s">
        <v>349</v>
      </c>
      <c r="E36" s="15" t="s">
        <v>350</v>
      </c>
      <c r="F36" s="15" t="s">
        <v>351</v>
      </c>
      <c r="G36" s="15" t="s">
        <v>12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8"/>
    <col collapsed="false" customWidth="true" hidden="false" outlineLevel="0" max="5" min="4" style="1" width="25"/>
    <col collapsed="false" customWidth="true" hidden="false" outlineLevel="0" max="7" min="6" style="1" width="16"/>
    <col collapsed="false" customWidth="true" hidden="false" outlineLevel="0" max="8" min="8" style="1" width="30"/>
    <col collapsed="false" customWidth="true" hidden="false" outlineLevel="0" max="9" min="9" style="1" width="16"/>
  </cols>
  <sheetData>
    <row r="1" customFormat="false" ht="17.25" hidden="false" customHeight="true" outlineLevel="0" collapsed="false">
      <c r="A1" s="33" t="s">
        <v>352</v>
      </c>
      <c r="B1" s="33"/>
      <c r="C1" s="33"/>
      <c r="D1" s="33"/>
      <c r="E1" s="33"/>
      <c r="F1" s="33"/>
      <c r="G1" s="33"/>
      <c r="H1" s="33"/>
      <c r="I1" s="33"/>
    </row>
    <row r="3" customFormat="false" ht="26.25" hidden="false" customHeight="true" outlineLevel="0" collapsed="false">
      <c r="A3" s="34" t="s">
        <v>353</v>
      </c>
      <c r="B3" s="34" t="s">
        <v>354</v>
      </c>
      <c r="C3" s="34" t="s">
        <v>355</v>
      </c>
      <c r="D3" s="34" t="s">
        <v>356</v>
      </c>
      <c r="E3" s="34" t="s">
        <v>357</v>
      </c>
      <c r="F3" s="34" t="s">
        <v>358</v>
      </c>
      <c r="G3" s="34" t="s">
        <v>359</v>
      </c>
      <c r="H3" s="34" t="s">
        <v>360</v>
      </c>
      <c r="I3" s="34" t="s">
        <v>361</v>
      </c>
    </row>
    <row r="4" customFormat="false" ht="15" hidden="false" customHeight="true" outlineLevel="0" collapsed="false">
      <c r="A4" s="35"/>
      <c r="B4" s="35"/>
      <c r="C4" s="35"/>
      <c r="D4" s="35"/>
      <c r="E4" s="35"/>
      <c r="F4" s="35"/>
      <c r="G4" s="35"/>
      <c r="H4" s="35"/>
      <c r="I4" s="35"/>
    </row>
    <row r="5" customFormat="false" ht="15" hidden="false" customHeight="true" outlineLevel="0" collapsed="false">
      <c r="A5" s="35"/>
      <c r="B5" s="35"/>
      <c r="C5" s="35"/>
      <c r="D5" s="35"/>
      <c r="E5" s="35"/>
      <c r="F5" s="35"/>
      <c r="G5" s="35"/>
      <c r="H5" s="35"/>
      <c r="I5" s="35"/>
    </row>
    <row r="6" customFormat="false" ht="15" hidden="false" customHeight="true" outlineLevel="0" collapsed="false">
      <c r="A6" s="35"/>
      <c r="B6" s="35"/>
      <c r="C6" s="35"/>
      <c r="D6" s="35"/>
      <c r="E6" s="35"/>
      <c r="F6" s="35"/>
      <c r="G6" s="35"/>
      <c r="H6" s="35"/>
      <c r="I6" s="35"/>
    </row>
    <row r="7" customFormat="false" ht="15" hidden="false" customHeight="true" outlineLevel="0" collapsed="false">
      <c r="A7" s="35"/>
      <c r="B7" s="35"/>
      <c r="C7" s="35"/>
      <c r="D7" s="35"/>
      <c r="E7" s="35"/>
      <c r="F7" s="35"/>
      <c r="G7" s="35"/>
      <c r="H7" s="35"/>
      <c r="I7" s="35"/>
    </row>
    <row r="8" customFormat="false" ht="1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</row>
    <row r="9" customFormat="false" ht="15" hidden="false" customHeight="true" outlineLevel="0" collapsed="false">
      <c r="A9" s="35"/>
      <c r="B9" s="35"/>
      <c r="C9" s="35"/>
      <c r="D9" s="35"/>
      <c r="E9" s="35"/>
      <c r="F9" s="35"/>
      <c r="G9" s="35"/>
      <c r="H9" s="35"/>
      <c r="I9" s="35"/>
    </row>
    <row r="10" customFormat="false" ht="15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</row>
    <row r="11" customFormat="false" ht="15" hidden="false" customHeight="true" outlineLevel="0" collapsed="false">
      <c r="A11" s="35"/>
      <c r="B11" s="35"/>
      <c r="C11" s="35"/>
      <c r="D11" s="35"/>
      <c r="E11" s="35"/>
      <c r="F11" s="35"/>
      <c r="G11" s="35"/>
      <c r="H11" s="35"/>
      <c r="I11" s="35"/>
    </row>
    <row r="12" customFormat="false" ht="15" hidden="false" customHeight="true" outlineLevel="0" collapsed="false">
      <c r="A12" s="35"/>
      <c r="B12" s="35"/>
      <c r="C12" s="35"/>
      <c r="D12" s="35"/>
      <c r="E12" s="35"/>
      <c r="F12" s="35"/>
      <c r="G12" s="35"/>
      <c r="H12" s="35"/>
      <c r="I12" s="35"/>
    </row>
    <row r="13" customFormat="false" ht="15" hidden="false" customHeight="true" outlineLevel="0" collapsed="false">
      <c r="A13" s="35"/>
      <c r="B13" s="35"/>
      <c r="C13" s="35"/>
      <c r="D13" s="35"/>
      <c r="E13" s="35"/>
      <c r="F13" s="35"/>
      <c r="G13" s="35"/>
      <c r="H13" s="35"/>
      <c r="I13" s="35"/>
    </row>
    <row r="14" customFormat="false" ht="15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</row>
    <row r="15" customFormat="false" ht="15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</row>
    <row r="16" customFormat="false" ht="15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</row>
    <row r="17" customFormat="false" ht="15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</row>
    <row r="18" customFormat="false" ht="1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</row>
    <row r="19" customFormat="false" ht="15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</row>
    <row r="20" customFormat="false" ht="15" hidden="false" customHeight="true" outlineLevel="0" collapsed="false">
      <c r="A20" s="35"/>
      <c r="B20" s="35"/>
      <c r="C20" s="35"/>
      <c r="D20" s="35"/>
      <c r="E20" s="35"/>
      <c r="F20" s="35"/>
      <c r="G20" s="35"/>
      <c r="H20" s="35"/>
      <c r="I20" s="35"/>
    </row>
    <row r="21" customFormat="false" ht="1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</row>
    <row r="22" customFormat="false" ht="1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</row>
    <row r="23" customFormat="false" ht="1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</row>
    <row r="25" customFormat="false" ht="15" hidden="false" customHeight="true" outlineLevel="0" collapsed="false">
      <c r="A25" s="8" t="s">
        <v>362</v>
      </c>
    </row>
    <row r="26" customFormat="false" ht="15" hidden="false" customHeight="true" outlineLevel="0" collapsed="false">
      <c r="A26" s="36" t="s">
        <v>363</v>
      </c>
      <c r="B26" s="36"/>
      <c r="C26" s="36"/>
      <c r="D26" s="36"/>
      <c r="E26" s="36"/>
      <c r="F26" s="36"/>
      <c r="G26" s="36"/>
      <c r="H26" s="36"/>
      <c r="I26" s="36"/>
    </row>
  </sheetData>
  <mergeCells count="2">
    <mergeCell ref="A1:I1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2026-02-20T16:46:50Z</dcterms:created>
  <dc:creator>openpyxl</dc:creator>
  <dc:description/>
  <dc:language>en-US</dc:language>
  <cp:lastModifiedBy/>
  <dcterms:modified xsi:type="dcterms:W3CDTF">2026-02-20T16:47:10Z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